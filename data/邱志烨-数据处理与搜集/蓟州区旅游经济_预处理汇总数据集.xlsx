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e305da32a0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f408b87e95774378"/>
    <x:sheet xmlns:r="http://schemas.openxmlformats.org/officeDocument/2006/relationships" name="严格年度数据" sheetId="2" r:id="Rbf9c11b7419d43ee"/>
    <x:sheet xmlns:r="http://schemas.openxmlformats.org/officeDocument/2006/relationships" name="缺失补全" sheetId="3" r:id="R6ccc82eab7564b30"/>
    <x:sheet xmlns:r="http://schemas.openxmlformats.org/officeDocument/2006/relationships" name="建模主表" sheetId="4" r:id="R85db1b312bc34ef4"/>
    <x:sheet xmlns:r="http://schemas.openxmlformats.org/officeDocument/2006/relationships" name="异常检测" sheetId="5" r:id="R6cea6d77dd78428f"/>
    <x:sheet xmlns:r="http://schemas.openxmlformats.org/officeDocument/2006/relationships" name="异常图表" sheetId="6" r:id="R0bf2a6b18a7a4405"/>
    <x:sheet xmlns:r="http://schemas.openxmlformats.org/officeDocument/2006/relationships" name="转换说明" sheetId="7" r:id="R751c7ba7c9854769"/>
    <x:sheet xmlns:r="http://schemas.openxmlformats.org/officeDocument/2006/relationships" name="供给辅助" sheetId="8" r:id="R0db9a2e590554705"/>
    <x:sheet xmlns:r="http://schemas.openxmlformats.org/officeDocument/2006/relationships" name="数据补充" sheetId="9" r:id="R9bff288c9a36419f"/>
    <x:sheet xmlns:r="http://schemas.openxmlformats.org/officeDocument/2006/relationships" name="模型建议" sheetId="10" r:id="Re2c930ed0596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0"/>
    <x:numFmt numFmtId="202" formatCode="0.000000"/>
    <x:numFmt numFmtId="203" formatCode="0.00"/>
    <x:numFmt numFmtId="204" formatCode="#,##0.00"/>
    <x:numFmt numFmtId="205" formatCode="#,##0.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7324D"/>
      <x:name val="Carlito"/>
    </x:font>
    <x:font>
      <x:b/>
      <x:sz val="12"/>
      <x:color rgb="FF17324D"/>
      <x:name val="Carlito"/>
    </x:font>
    <x:font>
      <x:b/>
      <x:sz val="11"/>
      <x:color rgb="FF53606B"/>
      <x:name val="Carlito"/>
    </x:font>
    <x:font>
      <x:b/>
      <x:sz val="15"/>
      <x:color rgb="FF17324D"/>
      <x:name val="Carlito"/>
    </x:font>
    <x:font>
      <x:b/>
      <x:sz val="11"/>
      <x:color rgb="FF17324D"/>
      <x:name val="Carlito"/>
    </x:font>
    <x:font>
      <x:b/>
      <x:sz val="11"/>
      <x:color rgb="FF0C6B70"/>
      <x:name val="Carlito"/>
    </x:font>
    <x:font>
      <x:b/>
      <x:sz val="11"/>
      <x:color rgb="FFFFFFFF"/>
      <x:name val="Carlito"/>
    </x:font>
    <x:font>
      <x:b/>
      <x:sz val="11"/>
      <x:color rgb="FF8D2D2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8DD"/>
      </x:patternFill>
    </x:fill>
    <x:fill>
      <x:patternFill patternType="solid">
        <x:fgColor rgb="FFEAF3F8"/>
      </x:patternFill>
    </x:fill>
    <x:fill>
      <x:patternFill patternType="solid">
        <x:fgColor rgb="FFFFF1E6"/>
      </x:patternFill>
    </x:fill>
    <x:fill>
      <x:patternFill patternType="solid">
        <x:fgColor rgb="FFFCEBE8"/>
      </x:patternFill>
    </x:fill>
    <x:fill>
      <x:patternFill patternType="solid">
        <x:fgColor rgb="FFE8F5F1"/>
      </x:patternFill>
    </x:fill>
    <x:fill>
      <x:patternFill patternType="solid">
        <x:fgColor rgb="FF0C6B70"/>
      </x:patternFill>
    </x:fill>
  </x:fills>
  <x:borders count="11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bottom style="thin">
        <x:color rgb="FFD7DEE5"/>
      </x:bottom>
    </x:border>
    <x:border>
      <x:top style="thin">
        <x:color rgb="FFD7DEE5"/>
      </x:top>
      <x:bottom style="thin">
        <x:color rgb="FFD7DEE5"/>
      </x:bottom>
    </x:border>
    <x:border>
      <x:top style="thin">
        <x:color rgb="FFD7DEE5"/>
      </x:top>
    </x:border>
    <x:border>
      <x:right style="thin">
        <x:color rgb="FFB7C6CE"/>
      </x:right>
    </x:border>
    <x:border>
      <x:left style="thin">
        <x:color rgb="FFB7C6CE"/>
      </x:left>
      <x:right style="thin">
        <x:color rgb="FFB7C6CE"/>
      </x:right>
    </x:border>
    <x:border>
      <x:left style="thin">
        <x:color rgb="FFB7C6CE"/>
      </x:left>
    </x:border>
  </x:borders>
  <x:cellStyleXfs count="1">
    <x:xf numFmtId="0" fontId="0" fillId="0" borderId="0"/>
  </x:cellStyleXfs>
  <x:cellXfs count="1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0" fillId="4" borderId="3" xfId="0" applyNumberFormat="1" applyFont="1" applyFill="1" applyBorder="1" applyAlignment="1">
      <x:alignment horizontal="center"/>
    </x:xf>
    <x:xf numFmtId="0" fontId="0" fillId="4" borderId="4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3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6" borderId="2" xfId="0" applyNumberFormat="1" applyFont="1" applyFill="1" applyBorder="1" applyAlignment="1">
      <x:alignment horizontal="center"/>
    </x:xf>
    <x:xf numFmtId="0" fontId="0" fillId="6" borderId="3" xfId="0" applyNumberFormat="1" applyFont="1" applyFill="1" applyBorder="1" applyAlignment="1">
      <x:alignment horizontal="center"/>
    </x:xf>
    <x:xf numFmtId="0" fontId="0" fillId="6" borderId="4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 applyAlignment="1">
      <x:alignment horizontal="center" vertical="center"/>
    </x:xf>
    <x:xf numFmtId="0" fontId="0" fillId="6" borderId="3" xfId="0" applyNumberFormat="1" applyFont="1" applyFill="1" applyBorder="1" applyAlignment="1">
      <x:alignment horizontal="center" vertical="center"/>
    </x:xf>
    <x:xf numFmtId="0" fontId="0" fillId="6" borderId="4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5" fillId="4" borderId="3" xfId="0" applyNumberFormat="1" applyFont="1" applyFill="1" applyBorder="1" applyAlignment="1">
      <x:alignment horizontal="center" vertical="center"/>
    </x:xf>
    <x:xf numFmtId="0" fontId="5" fillId="4" borderId="4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8" xfId="0" applyNumberFormat="1" applyFont="1" applyFill="1" applyBorder="1"/>
    <x:xf numFmtId="0" fontId="8" fillId="8" borderId="9" xfId="0" applyNumberFormat="1" applyFont="1" applyFill="1" applyBorder="1"/>
    <x:xf numFmtId="0" fontId="8" fillId="8" borderId="10" xfId="0" applyNumberFormat="1" applyFont="1" applyFill="1" applyBorder="1"/>
    <x:xf numFmtId="0" fontId="8" fillId="8" borderId="8" xfId="0" applyNumberFormat="1" applyFont="1" applyFill="1" applyBorder="1" applyAlignment="1">
      <x:alignment wrapText="1"/>
    </x:xf>
    <x:xf numFmtId="0" fontId="8" fillId="8" borderId="9" xfId="0" applyNumberFormat="1" applyFont="1" applyFill="1" applyBorder="1" applyAlignment="1">
      <x:alignment wrapText="1"/>
    </x:xf>
    <x:xf numFmtId="0" fontId="8" fillId="8" borderId="10" xfId="0" applyNumberFormat="1" applyFont="1" applyFill="1" applyBorder="1" applyAlignment="1">
      <x:alignment wrapText="1"/>
    </x:xf>
    <x:xf numFmtId="0" fontId="8" fillId="8" borderId="8" xfId="0" applyNumberFormat="1" applyFont="1" applyFill="1" applyBorder="1" applyAlignment="1">
      <x:alignment horizontal="center" wrapText="1"/>
    </x:xf>
    <x:xf numFmtId="0" fontId="8" fillId="8" borderId="9" xfId="0" applyNumberFormat="1" applyFont="1" applyFill="1" applyBorder="1" applyAlignment="1">
      <x:alignment horizontal="center" wrapText="1"/>
    </x:xf>
    <x:xf numFmtId="0" fontId="8" fillId="8" borderId="10" xfId="0" applyNumberFormat="1" applyFont="1" applyFill="1" applyBorder="1" applyAlignment="1">
      <x:alignment horizontal="center" wrapText="1"/>
    </x:xf>
    <x:xf numFmtId="0" fontId="8" fillId="8" borderId="8" xfId="0" applyNumberFormat="1" applyFont="1" applyFill="1" applyBorder="1" applyAlignment="1">
      <x:alignment horizontal="center" vertical="center" wrapText="1"/>
    </x:xf>
    <x:xf numFmtId="0" fontId="8" fillId="8" borderId="9" xfId="0" applyNumberFormat="1" applyFont="1" applyFill="1" applyBorder="1" applyAlignment="1">
      <x:alignment horizontal="center" vertical="center" wrapText="1"/>
    </x:xf>
    <x:xf numFmtId="0" fontId="8" fillId="8" borderId="1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5" xfId="0" applyNumberFormat="1" applyFont="1" applyFill="1" applyBorder="1" applyAlignment="1">
      <x:alignment vertical="top" wrapText="1"/>
    </x:xf>
    <x:xf numFmtId="202" fontId="0" fillId="0" borderId="6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204" fontId="0" fillId="0" borderId="5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  <x:xf numFmtId="204" fontId="0" fillId="0" borderId="7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5" fontId="0" fillId="0" borderId="5" xfId="0" applyNumberFormat="1" applyFont="1" applyFill="1" applyBorder="1" applyAlignment="1">
      <x:alignment vertical="top" wrapText="1"/>
    </x:xf>
    <x:xf numFmtId="205" fontId="0" fillId="0" borderId="6" xfId="0" applyNumberFormat="1" applyFont="1" applyFill="1" applyBorder="1" applyAlignment="1">
      <x:alignment vertical="top" wrapText="1"/>
    </x:xf>
    <x:xf numFmtId="205" fontId="0" fillId="0" borderId="7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7">
    <x:dxf>
      <x:font>
        <x:b/>
        <x:color rgb="FF9A4D16"/>
      </x:font>
      <x:fill>
        <x:patternFill patternType="solid">
          <x:bgColor rgb="FFFFF1E6"/>
        </x:patternFill>
      </x:fill>
    </x:dxf>
    <x:dxf>
      <x:font>
        <x:b/>
        <x:color rgb="FF9A4D16"/>
      </x:font>
      <x:fill>
        <x:patternFill patternType="solid">
          <x:bgColor rgb="FFFFF1E6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ill>
        <x:patternFill patternType="solid">
          <x:bgColor rgb="FFFFF1E6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ont>
        <x:b/>
        <x:color rgb="FF9F2D20"/>
      </x:font>
      <x:fill>
        <x:patternFill patternType="solid">
          <x:bgColor rgb="FFFCEBE8"/>
        </x:patternFill>
      </x:fill>
    </x:dxf>
    <x:dxf>
      <x:font>
        <x:b/>
        <x:color rgb="FF176B55"/>
      </x:font>
      <x:fill>
        <x:patternFill patternType="solid">
          <x:bgColor rgb="FFE8F5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0d33e4a362484c" /><Relationship Type="http://schemas.openxmlformats.org/officeDocument/2006/relationships/theme" Target="/xl/theme/theme1.xml" Id="Rbeacaf2131e0492b" /><Relationship Type="http://schemas.openxmlformats.org/officeDocument/2006/relationships/sharedStrings" Target="/xl/sharedStrings.xml" Id="Re5dd9c6b6141429e" /><Relationship Type="http://schemas.openxmlformats.org/officeDocument/2006/relationships/worksheet" Target="/xl/worksheets/sheet1.xml" Id="Rf408b87e95774378" /><Relationship Type="http://schemas.openxmlformats.org/officeDocument/2006/relationships/worksheet" Target="/xl/worksheets/sheet2.xml" Id="Rbf9c11b7419d43ee" /><Relationship Type="http://schemas.openxmlformats.org/officeDocument/2006/relationships/worksheet" Target="/xl/worksheets/sheet3.xml" Id="R6ccc82eab7564b30" /><Relationship Type="http://schemas.openxmlformats.org/officeDocument/2006/relationships/worksheet" Target="/xl/worksheets/sheet4.xml" Id="R85db1b312bc34ef4" /><Relationship Type="http://schemas.openxmlformats.org/officeDocument/2006/relationships/worksheet" Target="/xl/worksheets/sheet5.xml" Id="R6cea6d77dd78428f" /><Relationship Type="http://schemas.openxmlformats.org/officeDocument/2006/relationships/worksheet" Target="/xl/worksheets/sheet6.xml" Id="R0bf2a6b18a7a4405" /><Relationship Type="http://schemas.openxmlformats.org/officeDocument/2006/relationships/worksheet" Target="/xl/worksheets/sheet7.xml" Id="R751c7ba7c9854769" /><Relationship Type="http://schemas.openxmlformats.org/officeDocument/2006/relationships/worksheet" Target="/xl/worksheets/sheet8.xml" Id="R0db9a2e590554705" /><Relationship Type="http://schemas.openxmlformats.org/officeDocument/2006/relationships/worksheet" Target="/xl/worksheets/sheet9.xml" Id="R9bff288c9a36419f" /><Relationship Type="http://schemas.openxmlformats.org/officeDocument/2006/relationships/worksheet" Target="/xl/worksheets/sheet10.xml" Id="Re2c930ed05964d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0dd5c4e76c54630" /><Relationship Type="http://schemas.openxmlformats.org/officeDocument/2006/relationships/chart" Target="/xl/drawings/charts/chart2.xml" Id="R5ce23cd2a0d94582" /><Relationship Type="http://schemas.openxmlformats.org/officeDocument/2006/relationships/chart" Target="/xl/drawings/charts/chart3.xml" Id="Rceb8d0bc4df248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游客量趋势（万人次）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游客量</c:v>
          </c:tx>
          <c:marker>
            <c:symbol val="none"/>
          </c:marker>
          <c:cat>
            <c:strRef>
              <c:f>'异常图表'!$A$5:$A$20</c:f>
              <c:strCache>
                <c:ptCount val="0"/>
              </c:strCache>
            </c:strRef>
          </c:cat>
          <c:val>
            <c:numRef>
              <c:f>'异常图表'!$B$5:$B$20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旅游综合收入趋势（亿元）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综合收入</c:v>
          </c:tx>
          <c:spPr>
            <a:solidFill xmlns:a="http://schemas.openxmlformats.org/drawingml/2006/main">
              <a:srgbClr val="E78B48"/>
            </a:solidFill>
          </c:spPr>
          <c:marker>
            <c:symbol val="none"/>
          </c:marker>
          <c:cat>
            <c:strRef>
              <c:f>'异常图表'!$A$5:$A$20</c:f>
              <c:strCache>
                <c:ptCount val="0"/>
              </c:strCache>
            </c:strRef>
          </c:cat>
          <c:val>
            <c:numRef>
              <c:f>'异常图表'!$C$5:$C$20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核心指标对数同比与异常波动（%）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游客量</c:v>
          </c:tx>
          <c:marker>
            <c:symbol val="none"/>
          </c:marker>
          <c:cat>
            <c:strRef>
              <c:f>'异常图表'!$A$24:$A$38</c:f>
              <c:strCache>
                <c:ptCount val="0"/>
              </c:strCache>
            </c:strRef>
          </c:cat>
          <c:val>
            <c:numRef>
              <c:f>'异常图表'!$B$24:$B$38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旅游综合收入</c:v>
          </c:tx>
          <c:marker>
            <c:symbol val="none"/>
          </c:marker>
          <c:cat>
            <c:strRef>
              <c:f>'异常图表'!$A$24:$A$38</c:f>
              <c:strCache>
                <c:ptCount val="0"/>
              </c:strCache>
            </c:strRef>
          </c:cat>
          <c:val>
            <c:numRef>
              <c:f>'异常图表'!$C$24:$C$38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GDP</c:v>
          </c:tx>
          <c:marker>
            <c:symbol val="none"/>
          </c:marker>
          <c:cat>
            <c:strRef>
              <c:f>'异常图表'!$A$24:$A$38</c:f>
              <c:strCache>
                <c:ptCount val="0"/>
              </c:strCache>
            </c:strRef>
          </c:cat>
          <c:val>
            <c:numRef>
              <c:f>'异常图表'!$D$24:$D$38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第三产业增加值</c:v>
          </c:tx>
          <c:marker>
            <c:symbol val="none"/>
          </c:marker>
          <c:cat>
            <c:strRef>
              <c:f>'异常图表'!$A$24:$A$38</c:f>
              <c:strCache>
                <c:ptCount val="0"/>
              </c:strCache>
            </c:strRef>
          </c:cat>
          <c:val>
            <c:numRef>
              <c:f>'异常图表'!$E$24:$E$38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人均次消费</c:v>
          </c:tx>
          <c:marker>
            <c:symbol val="none"/>
          </c:marker>
          <c:cat>
            <c:strRef>
              <c:f>'异常图表'!$A$24:$A$38</c:f>
              <c:strCache>
                <c:ptCount val="0"/>
              </c:strCache>
            </c:strRef>
          </c:cat>
          <c:val>
            <c:numRef>
              <c:f>'异常图表'!$F$24:$F$38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0dd5c4e76c54630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e23cd2a0d9458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16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b8d0bc4df248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rictAnnualTable" displayName="StrictAnnualTable" ref="A4:M20" headerRowCount="1" totalsRowCount="0" totalsRowShown="0">
  <x:tableColumns count="13">
    <x:tableColumn id="1" name="年份"/>
    <x:tableColumn id="2" name="游客量(万人次)"/>
    <x:tableColumn id="3" name="游客状态"/>
    <x:tableColumn id="4" name="直接收入(亿元)"/>
    <x:tableColumn id="5" name="直接收入状态"/>
    <x:tableColumn id="6" name="综合收入(亿元)"/>
    <x:tableColumn id="7" name="综合收入状态"/>
    <x:tableColumn id="8" name="GDP(亿元)"/>
    <x:tableColumn id="9" name="GDP状态"/>
    <x:tableColumn id="10" name="第三产业(亿元)"/>
    <x:tableColumn id="11" name="第三产业状态"/>
    <x:tableColumn id="12" name="来源ID"/>
    <x:tableColumn id="13" name="质量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utationMapTable" displayName="ImputationMapTable" ref="A4:M20" headerRowCount="1" totalsRowCount="0" totalsRowShown="0">
  <x:tableColumns count="13">
    <x:tableColumn id="1" name="年份"/>
    <x:tableColumn id="2" name="游客官方值"/>
    <x:tableColumn id="3" name="游客建模值"/>
    <x:tableColumn id="4" name="游客数据角色"/>
    <x:tableColumn id="5" name="游客补全方法"/>
    <x:tableColumn id="6" name="游客低值"/>
    <x:tableColumn id="7" name="游客高值"/>
    <x:tableColumn id="8" name="收入官方值"/>
    <x:tableColumn id="9" name="收入建模值"/>
    <x:tableColumn id="10" name="收入数据角色"/>
    <x:tableColumn id="11" name="收入补全方法"/>
    <x:tableColumn id="12" name="收入低值"/>
    <x:tableColumn id="13" name="收入高值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odelReadyTable" displayName="ModelReadyTable" ref="A4:X20" headerRowCount="1" totalsRowCount="0" totalsRowShown="0">
  <x:tableColumns count="24">
    <x:tableColumn id="1" name="年份"/>
    <x:tableColumn id="2" name="游客量(万人次)"/>
    <x:tableColumn id="3" name="综合收入(亿元)"/>
    <x:tableColumn id="4" name="GDP(亿元)"/>
    <x:tableColumn id="5" name="第三产业(亿元)"/>
    <x:tableColumn id="6" name="人均次消费(元)"/>
    <x:tableColumn id="7" name="疫情期"/>
    <x:tableColumn id="8" name="恢复期"/>
    <x:tableColumn id="9" name="宏观口径断点"/>
    <x:tableColumn id="10" name="游客数据角色"/>
    <x:tableColumn id="11" name="收入数据角色"/>
    <x:tableColumn id="12" name="异常标记"/>
    <x:tableColumn id="13" name="ln游客"/>
    <x:tableColumn id="14" name="ln收入"/>
    <x:tableColumn id="15" name="Z游客"/>
    <x:tableColumn id="16" name="Z收入"/>
    <x:tableColumn id="17" name="MinMax游客"/>
    <x:tableColumn id="18" name="MinMax收入"/>
    <x:tableColumn id="19" name="游客log同比"/>
    <x:tableColumn id="20" name="收入log同比"/>
    <x:tableColumn id="21" name="游客低"/>
    <x:tableColumn id="22" name="游客高"/>
    <x:tableColumn id="23" name="收入低"/>
    <x:tableColumn id="24" name="收入高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omalyAuditTable" displayName="AnomalyAuditTable" ref="A4:L79" headerRowCount="1" totalsRowCount="0" totalsRowShown="0">
  <x:tableColumns count="12">
    <x:tableColumn id="1" name="年份"/>
    <x:tableColumn id="2" name="指标代码"/>
    <x:tableColumn id="3" name="指标"/>
    <x:tableColumn id="4" name="对数同比"/>
    <x:tableColumn id="5" name="同比(%)"/>
    <x:tableColumn id="6" name="Z-score"/>
    <x:tableColumn id="7" name="IQR下界"/>
    <x:tableColumn id="8" name="IQR上界"/>
    <x:tableColumn id="9" name="IQR异常"/>
    <x:tableColumn id="10" name="Z异常"/>
    <x:tableColumn id="11" name="最终异常"/>
    <x:tableColumn id="12" name="处理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endChartData" displayName="TrendChartData" ref="A4:F20" headerRowCount="1" totalsRowCount="0" totalsRowShown="0">
  <x:tableColumns count="6">
    <x:tableColumn id="1" name="年份"/>
    <x:tableColumn id="2" name="游客量"/>
    <x:tableColumn id="3" name="综合收入"/>
    <x:tableColumn id="4" name="GDP"/>
    <x:tableColumn id="5" name="第三产业"/>
    <x:tableColumn id="6" name="人均次消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nsformGuideTable" displayName="TransformGuideTable" ref="A4:G9" headerRowCount="1" totalsRowCount="0" totalsRowShown="0">
  <x:tableColumns count="7">
    <x:tableColumn id="1" name="处理"/>
    <x:tableColumn id="2" name="公式"/>
    <x:tableColumn id="3" name="是否采用"/>
    <x:tableColumn id="4" name="适用模型"/>
    <x:tableColumn id="5" name="优点"/>
    <x:tableColumn id="6" name="风险"/>
    <x:tableColumn id="7" name="本表位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upplyLongTable" displayName="SupplyLongTable" ref="A4:K45" headerRowCount="1" totalsRowCount="0" totalsRowShown="0">
  <x:tableColumns count="11">
    <x:tableColumn id="1" name="年份"/>
    <x:tableColumn id="2" name="指标"/>
    <x:tableColumn id="3" name="值"/>
    <x:tableColumn id="4" name="单位"/>
    <x:tableColumn id="5" name="状态"/>
    <x:tableColumn id="6" name="口径"/>
    <x:tableColumn id="7" name="版本"/>
    <x:tableColumn id="8" name="来源ID"/>
    <x:tableColumn id="9" name="证据级"/>
    <x:tableColumn id="10" name="来源链接"/>
    <x:tableColumn id="11" name="备注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RelatedLongTable" displayName="RelatedLongTable" ref="N4:U48" headerRowCount="1" totalsRowCount="0" totalsRowShown="0">
  <x:tableColumns count="8">
    <x:tableColumn id="1" name="年份"/>
    <x:tableColumn id="2" name="指标"/>
    <x:tableColumn id="3" name="值"/>
    <x:tableColumn id="4" name="单位"/>
    <x:tableColumn id="5" name="状态"/>
    <x:tableColumn id="6" name="来源ID"/>
    <x:tableColumn id="7" name="来源链接"/>
    <x:tableColumn id="8" name="备注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NeedsTable" displayName="DataNeedsTable" ref="A4:E13" headerRowCount="1" totalsRowCount="0" totalsRowShown="0">
  <x:tableColumns count="5">
    <x:tableColumn id="1" name="优先级"/>
    <x:tableColumn id="2" name="所需数据"/>
    <x:tableColumn id="3" name="原因"/>
    <x:tableColumn id="4" name="推荐获取途径"/>
    <x:tableColumn id="5" name="假设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xistingModelComparison" displayName="ExistingModelComparison" ref="A5:H10" headerRowCount="1" totalsRowCount="0" totalsRowShown="0">
  <x:tableColumns count="8">
    <x:tableColumn id="1" name="方案"/>
    <x:tableColumn id="2" name="目标尺度/结构"/>
    <x:tableColumn id="3" name="滚动验证"/>
    <x:tableColumn id="4" name="2030游客量"/>
    <x:tableColumn id="5" name="2030收入"/>
    <x:tableColumn id="6" name="优点"/>
    <x:tableColumn id="7" name="主要风险"/>
    <x:tableColumn id="8" name="建议角色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inalModelArchitecture" displayName="FinalModelArchitecture" ref="A13:H16" headerRowCount="1" totalsRowCount="0" totalsRowShown="0">
  <x:tableColumns count="8">
    <x:tableColumn id="1" name="小问/任务"/>
    <x:tableColumn id="2" name="主模型"/>
    <x:tableColumn id="3" name="稳健性/创新层"/>
    <x:tableColumn id="4" name="数据层"/>
    <x:tableColumn id="5" name="验证"/>
    <x:tableColumn id="6" name="输出"/>
    <x:tableColumn id="7" name="不建议"/>
    <x:tableColumn id="8" name="判定理由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c281bf626348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a6e16b4c1f4d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6b49c0719145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2fe3721901941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225c17eb20dc43b5" /><Relationship Type="http://schemas.openxmlformats.org/officeDocument/2006/relationships/table" Target="/xl/tables/table5.xml" Id="R347bc90e6ea843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1ff36b0216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4a5cb99d0ea4a7d" /><Relationship Type="http://schemas.openxmlformats.org/officeDocument/2006/relationships/table" Target="/xl/tables/table8.xml" Id="R3564fcf658e0488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725bbebd635430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912075666684b8f" /><Relationship Type="http://schemas.openxmlformats.org/officeDocument/2006/relationships/table" Target="/xl/tables/table11.xml" Id="R3c54353e517d4c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8" hidden="0" customWidth="1"/>
    <x:col min="5" max="5" width="20" hidden="0" customWidth="1"/>
    <x:col min="6" max="6" width="12" hidden="0" customWidth="1"/>
    <x:col min="7" max="7" width="24" hidden="0" customWidth="1"/>
    <x:col min="8" max="8" width="18" hidden="0" customWidth="1"/>
  </x:cols>
  <x:sheetData>
    <x:row r="1" ht="36" customHeight="1">
      <x:c r="A1" s="3" t="str">
        <x:v>蓟州区旅游经济：数据预处理汇总与模型决策</x:v>
      </x:c>
      <x:c r="B1" s="3"/>
      <x:c r="C1" s="3"/>
      <x:c r="D1" s="3"/>
      <x:c r="E1" s="3"/>
      <x:c r="F1" s="3"/>
      <x:c r="G1" s="3"/>
      <x:c r="H1" s="3"/>
    </x:row>
    <x:row r="2" ht="40" customHeight="1">
      <x:c r="A2" s="6" t="str">
        <x:v>数据分两层保存：严格年度数据保持官方缺口；建模主表提供透明的情景补全。任何补全值、二手值和约束值都不得在论文中称为官方实测。</x:v>
      </x:c>
      <x:c r="B2" s="6"/>
      <x:c r="C2" s="6"/>
      <x:c r="D2" s="6"/>
      <x:c r="E2" s="6"/>
      <x:c r="F2" s="6"/>
      <x:c r="G2" s="6"/>
      <x:c r="H2" s="6"/>
    </x:row>
    <x:row r="4">
      <x:c r="A4" s="9" t="str">
        <x:v>本轮数据审计结论</x:v>
      </x:c>
      <x:c r="B4" s="9"/>
      <x:c r="C4" s="9"/>
      <x:c r="D4" s="9"/>
      <x:c r="E4" s="9"/>
      <x:c r="F4" s="9"/>
      <x:c r="G4" s="9"/>
      <x:c r="H4" s="9"/>
    </x:row>
    <x:row r="5" ht="28" customHeight="1">
      <x:c r="A5" s="48" t="str">
        <x:v>年度期数</x:v>
      </x:c>
      <x:c r="B5" s="49"/>
      <x:c r="C5" s="50" t="str">
        <x:v>游客官方缺失</x:v>
      </x:c>
      <x:c r="D5" s="51"/>
      <x:c r="E5" s="50" t="str">
        <x:v>收入官方缺失</x:v>
      </x:c>
      <x:c r="F5" s="51"/>
      <x:c r="G5" s="52" t="str">
        <x:v>异常年份</x:v>
      </x:c>
      <x:c r="H5" s="53"/>
    </x:row>
    <x:row r="6" ht="28" customHeight="1">
      <x:c r="A6" s="54" t="n">
        <x:v>16</x:v>
      </x:c>
      <x:c r="B6" s="55"/>
      <x:c r="C6" s="56" t="n">
        <x:v>4</x:v>
      </x:c>
      <x:c r="D6" s="57"/>
      <x:c r="E6" s="56" t="n">
        <x:v>4</x:v>
      </x:c>
      <x:c r="F6" s="57"/>
      <x:c r="G6" s="58" t="str">
        <x:v>2019、2020、2021、2022、2023</x:v>
      </x:c>
      <x:c r="H6" s="59"/>
    </x:row>
    <x:row r="8">
      <x:c r="A8" s="9" t="str">
        <x:v>处理原则与最终用途</x:v>
      </x:c>
      <x:c r="B8" s="9"/>
      <x:c r="C8" s="9"/>
      <x:c r="D8" s="9"/>
      <x:c r="E8" s="9"/>
      <x:c r="F8" s="9"/>
      <x:c r="G8" s="9"/>
      <x:c r="H8" s="9"/>
    </x:row>
    <x:row r="9" ht="48" customHeight="1">
      <x:c r="A9" s="69" t="str">
        <x:v>缺失值</x:v>
      </x:c>
      <x:c r="B9" s="66" t="str">
        <x:v>不采用均值填充；疫情期属于非随机缺失。使用累计约束、同口径供给代理、目标隐含基数和二手锚点生成建模情景，并保留上下界。</x:v>
      </x:c>
      <x:c r="C9" s="66"/>
      <x:c r="D9" s="66"/>
      <x:c r="E9" s="66"/>
      <x:c r="F9" s="72" t="str">
        <x:v>输出</x:v>
      </x:c>
      <x:c r="G9" s="66" t="str">
        <x:v>缺失补全、建模主表</x:v>
      </x:c>
      <x:c r="H9" s="66"/>
    </x:row>
    <x:row r="10" ht="48" customHeight="1">
      <x:c r="A10" s="70" t="str">
        <x:v>异常值</x:v>
      </x:c>
      <x:c r="B10" s="67" t="str">
        <x:v>在对数同比尺度同时执行 IQR(1.5倍四分位距) 与 |Z|&gt;3 检测。2019口径断点与2020—2023冲击/恢复值全部保留。</x:v>
      </x:c>
      <x:c r="C10" s="67"/>
      <x:c r="D10" s="67"/>
      <x:c r="E10" s="67"/>
      <x:c r="F10" s="73" t="str">
        <x:v>输出</x:v>
      </x:c>
      <x:c r="G10" s="67" t="str">
        <x:v>异常检测、异常图表</x:v>
      </x:c>
      <x:c r="H10" s="67"/>
    </x:row>
    <x:row r="11" ht="48" customHeight="1">
      <x:c r="A11" s="70" t="str">
        <x:v>转换</x:v>
      </x:c>
      <x:c r="B11" s="67" t="str">
        <x:v>为线性模型、Ridge、SVM等提供 Z-score；为神经网络/距离模型提供Min-Max；为弹性与乘法增长模型提供自然对数。</x:v>
      </x:c>
      <x:c r="C11" s="67"/>
      <x:c r="D11" s="67"/>
      <x:c r="E11" s="67"/>
      <x:c r="F11" s="73" t="str">
        <x:v>输出</x:v>
      </x:c>
      <x:c r="G11" s="67" t="str">
        <x:v>建模主表、转换说明</x:v>
      </x:c>
      <x:c r="H11" s="67"/>
    </x:row>
    <x:row r="12" ht="48" customHeight="1">
      <x:c r="A12" s="71" t="str">
        <x:v>建模</x:v>
      </x:c>
      <x:c r="B12" s="68" t="str">
        <x:v>年度标签极少，主模型采用低参数、可外推且可滚动回测的方法；复杂机器学习只作负对照或敏感性。</x:v>
      </x:c>
      <x:c r="C12" s="68"/>
      <x:c r="D12" s="68"/>
      <x:c r="E12" s="68"/>
      <x:c r="F12" s="74" t="str">
        <x:v>建议</x:v>
      </x:c>
      <x:c r="G12" s="68" t="str">
        <x:v>模型建议</x:v>
      </x:c>
      <x:c r="H12" s="68"/>
    </x:row>
    <x:row r="14">
      <x:c r="A14" s="9" t="str">
        <x:v>建议使用顺序</x:v>
      </x:c>
      <x:c r="B14" s="9"/>
      <x:c r="C14" s="9"/>
      <x:c r="D14" s="9"/>
      <x:c r="E14" s="9"/>
      <x:c r="F14" s="9"/>
      <x:c r="G14" s="9"/>
      <x:c r="H14" s="9"/>
    </x:row>
    <x:row r="15" ht="38" customHeight="1">
      <x:c r="A15" s="77" t="str">
        <x:v>① 严格年度数据做证据审计 → ② 缺失补全做情景敏感性 → ③ 建模主表用于程序读取 → ④ 异常检测决定断点变量 → ⑤ 模型建议确定主模型与稳健性模型。</x:v>
      </x:c>
      <x:c r="B15" s="77"/>
      <x:c r="C15" s="77"/>
      <x:c r="D15" s="77"/>
      <x:c r="E15" s="77"/>
      <x:c r="F15" s="77"/>
      <x:c r="G15" s="77"/>
      <x:c r="H15" s="77"/>
    </x:row>
  </x:sheetData>
  <x:mergeCells>
    <x:mergeCell ref="A1:H1"/>
    <x:mergeCell ref="A2:H2"/>
    <x:mergeCell ref="A4:H4"/>
    <x:mergeCell ref="A8:H8"/>
    <x:mergeCell ref="B9:E9"/>
    <x:mergeCell ref="G9:H9"/>
    <x:mergeCell ref="B10:E10"/>
    <x:mergeCell ref="G10:H10"/>
    <x:mergeCell ref="B11:E11"/>
    <x:mergeCell ref="G11:H11"/>
    <x:mergeCell ref="B12:E12"/>
    <x:mergeCell ref="G12:H12"/>
    <x:mergeCell ref="A14:H1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22" hidden="0" customWidth="1"/>
    <x:col min="4" max="4" width="16" hidden="0" customWidth="1"/>
    <x:col min="5" max="5" width="22" hidden="0" customWidth="1"/>
    <x:col min="6" max="6" width="17" hidden="0" customWidth="1"/>
    <x:col min="7" max="7" width="30" hidden="0" customWidth="1"/>
    <x:col min="8" max="8" width="14" hidden="0" customWidth="1"/>
    <x:col min="9" max="9" width="22" hidden="0" customWidth="1"/>
    <x:col min="10" max="10" width="17" hidden="0" customWidth="1"/>
    <x:col min="11" max="11" width="22" hidden="0" customWidth="1"/>
    <x:col min="12" max="12" width="45" hidden="0" customWidth="1"/>
    <x:col min="13" max="13" width="55" hidden="0" customWidth="1"/>
  </x:cols>
  <x:sheetData>
    <x:row r="1" ht="36" customHeight="1">
      <x:c r="A1" s="3" t="str">
        <x:v>官方优选年度宽表（原值保持不变）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4" customHeight="1">
      <x:c r="A2" s="78" t="str">
        <x:v>本表原样摘录 official_annual_summary_2010_2025.csv。空白即未取得可核验的官方年度实际，不在本表回填。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</x:row>
    <x:row r="4">
      <x:c r="A4" s="90" t="str">
        <x:v>年份</x:v>
      </x:c>
      <x:c r="B4" s="91" t="str">
        <x:v>游客量(万人次)</x:v>
      </x:c>
      <x:c r="C4" s="91" t="str">
        <x:v>游客状态</x:v>
      </x:c>
      <x:c r="D4" s="91" t="str">
        <x:v>直接收入(亿元)</x:v>
      </x:c>
      <x:c r="E4" s="91" t="str">
        <x:v>直接收入状态</x:v>
      </x:c>
      <x:c r="F4" s="91" t="str">
        <x:v>综合收入(亿元)</x:v>
      </x:c>
      <x:c r="G4" s="91" t="str">
        <x:v>综合收入状态</x:v>
      </x:c>
      <x:c r="H4" s="91" t="str">
        <x:v>GDP(亿元)</x:v>
      </x:c>
      <x:c r="I4" s="91" t="str">
        <x:v>GDP状态</x:v>
      </x:c>
      <x:c r="J4" s="91" t="str">
        <x:v>第三产业(亿元)</x:v>
      </x:c>
      <x:c r="K4" s="91" t="str">
        <x:v>第三产业状态</x:v>
      </x:c>
      <x:c r="L4" s="91" t="str">
        <x:v>来源ID</x:v>
      </x:c>
      <x:c r="M4" s="92" t="str">
        <x:v>质量备注</x:v>
      </x:c>
    </x:row>
    <x:row r="5" ht="34" customHeight="1">
      <x:c r="A5" s="96" t="n">
        <x:v>2010</x:v>
      </x:c>
      <x:c r="B5" s="99" t="n">
        <x:v>848</x:v>
      </x:c>
      <x:c r="C5" s="93" t="str">
        <x:v>observed_rounded</x:v>
      </x:c>
      <x:c r="D5" s="99" t="n">
        <x:v>7.104247</x:v>
      </x:c>
      <x:c r="E5" s="93" t="str">
        <x:v>inferred_from_yoy</x:v>
      </x:c>
      <x:c r="F5" s="99" t="n">
        <x:v>35.521236</x:v>
      </x:c>
      <x:c r="G5" s="93" t="str">
        <x:v>inferred_from_yoy</x:v>
      </x:c>
      <x:c r="H5" s="99" t="n">
        <x:v>215.47</x:v>
      </x:c>
      <x:c r="I5" s="93" t="str">
        <x:v>official_yearbook</x:v>
      </x:c>
      <x:c r="J5" s="99" t="n">
        <x:v>136.23</x:v>
      </x:c>
      <x:c r="K5" s="93" t="str">
        <x:v>official_yearbook</x:v>
      </x:c>
      <x:c r="L5" s="93" t="str">
        <x:v>gov_jz_report_2011;gov_jz_bulletin_2011;gov_tj_yearbook_2011_jixian</x:v>
      </x:c>
      <x:c r="M5" s="93" t="str">
        <x:v>收入为同比反推；游客量为工作报告约数</x:v>
      </x:c>
    </x:row>
    <x:row r="6" ht="34" customHeight="1">
      <x:c r="A6" s="97" t="n">
        <x:v>2011</x:v>
      </x:c>
      <x:c r="B6" s="100" t="n">
        <x:v>1098.6</x:v>
      </x:c>
      <x:c r="C6" s="94" t="str">
        <x:v>observed</x:v>
      </x:c>
      <x:c r="D6" s="100" t="n">
        <x:v>9.2</x:v>
      </x:c>
      <x:c r="E6" s="94" t="str">
        <x:v>observed</x:v>
      </x:c>
      <x:c r="F6" s="100" t="n">
        <x:v>46</x:v>
      </x:c>
      <x:c r="G6" s="94" t="str">
        <x:v>observed</x:v>
      </x:c>
      <x:c r="H6" s="100" t="n">
        <x:v>250.11</x:v>
      </x:c>
      <x:c r="I6" s="94" t="str">
        <x:v>official_yearbook</x:v>
      </x:c>
      <x:c r="J6" s="100" t="n">
        <x:v>147.02</x:v>
      </x:c>
      <x:c r="K6" s="94" t="str">
        <x:v>official_yearbook</x:v>
      </x:c>
      <x:c r="L6" s="94" t="str">
        <x:v>gov_jz_bulletin_2011;gov_tj_yearbook_2012_jixian</x:v>
      </x:c>
      <x:c r="M6" s="94" t="str">
        <x:v>宏观指标采用后版年鉴回列值并保留公报初值于宏观长表</x:v>
      </x:c>
    </x:row>
    <x:row r="7" ht="34" customHeight="1">
      <x:c r="A7" s="97" t="n">
        <x:v>2012</x:v>
      </x:c>
      <x:c r="B7" s="100" t="n">
        <x:v>1152</x:v>
      </x:c>
      <x:c r="C7" s="94" t="str">
        <x:v>observed_rounded</x:v>
      </x:c>
      <x:c r="D7" s="100"/>
      <x:c r="E7" s="94"/>
      <x:c r="F7" s="100" t="n">
        <x:v>52</x:v>
      </x:c>
      <x:c r="G7" s="94" t="str">
        <x:v>observed_rounded</x:v>
      </x:c>
      <x:c r="H7" s="100" t="n">
        <x:v>291.52</x:v>
      </x:c>
      <x:c r="I7" s="94" t="str">
        <x:v>official_yearbook</x:v>
      </x:c>
      <x:c r="J7" s="100" t="n">
        <x:v>168.36</x:v>
      </x:c>
      <x:c r="K7" s="94" t="str">
        <x:v>official_yearbook</x:v>
      </x:c>
      <x:c r="L7" s="94" t="str">
        <x:v>gov_jz_report_2013;db_cei_jizhou_macro_20260817</x:v>
      </x:c>
      <x:c r="M7" s="94" t="str">
        <x:v>旅游为工作报告回顾值；宏观采用中经网天津统计年鉴回列值并由EPS交叉核验</x:v>
      </x:c>
    </x:row>
    <x:row r="8" ht="34" customHeight="1">
      <x:c r="A8" s="97" t="n">
        <x:v>2013</x:v>
      </x:c>
      <x:c r="B8" s="100" t="n">
        <x:v>1295</x:v>
      </x:c>
      <x:c r="C8" s="94" t="str">
        <x:v>observed_cached</x:v>
      </x:c>
      <x:c r="D8" s="100" t="n">
        <x:v>12.63</x:v>
      </x:c>
      <x:c r="E8" s="94" t="str">
        <x:v>observed_cached</x:v>
      </x:c>
      <x:c r="F8" s="100" t="n">
        <x:v>63.2</x:v>
      </x:c>
      <x:c r="G8" s="94" t="str">
        <x:v>observed_cached</x:v>
      </x:c>
      <x:c r="H8" s="100" t="n">
        <x:v>316.84</x:v>
      </x:c>
      <x:c r="I8" s="94" t="str">
        <x:v>official_yearbook</x:v>
      </x:c>
      <x:c r="J8" s="100" t="n">
        <x:v>184.98</x:v>
      </x:c>
      <x:c r="K8" s="94" t="str">
        <x:v>official_yearbook</x:v>
      </x:c>
      <x:c r="L8" s="94" t="str">
        <x:v>gov_jz_tourism_summary_2013;db_cei_jizhou_macro_20260817</x:v>
      </x:c>
      <x:c r="M8" s="94" t="str">
        <x:v>旅游官方详情页当前下线；宏观采用天津统计年鉴回列值</x:v>
      </x:c>
    </x:row>
    <x:row r="9" ht="34" customHeight="1">
      <x:c r="A9" s="97" t="n">
        <x:v>2014</x:v>
      </x:c>
      <x:c r="B9" s="100" t="n">
        <x:v>1553.4</x:v>
      </x:c>
      <x:c r="C9" s="94" t="str">
        <x:v>observed_revised</x:v>
      </x:c>
      <x:c r="D9" s="100" t="n">
        <x:v>15.8007</x:v>
      </x:c>
      <x:c r="E9" s="94" t="str">
        <x:v>observed_revised</x:v>
      </x:c>
      <x:c r="F9" s="100" t="n">
        <x:v>79</x:v>
      </x:c>
      <x:c r="G9" s="94" t="str">
        <x:v>observed</x:v>
      </x:c>
      <x:c r="H9" s="100" t="n">
        <x:v>350.91</x:v>
      </x:c>
      <x:c r="I9" s="94" t="str">
        <x:v>official_yearbook</x:v>
      </x:c>
      <x:c r="J9" s="100" t="n">
        <x:v>205.27</x:v>
      </x:c>
      <x:c r="K9" s="94" t="str">
        <x:v>official_yearbook</x:v>
      </x:c>
      <x:c r="L9" s="94" t="str">
        <x:v>gov_jz_tourism_stats_2015;db_cei_jizhou_macro_20260817</x:v>
      </x:c>
      <x:c r="M9" s="94" t="str">
        <x:v>游客和直接收入采用下一年统计表回列修订值；宏观采用天津统计年鉴回列值</x:v>
      </x:c>
    </x:row>
    <x:row r="10" ht="34" customHeight="1">
      <x:c r="A10" s="97" t="n">
        <x:v>2015</x:v>
      </x:c>
      <x:c r="B10" s="100" t="n">
        <x:v>1818.72</x:v>
      </x:c>
      <x:c r="C10" s="94" t="str">
        <x:v>observed_revised</x:v>
      </x:c>
      <x:c r="D10" s="100" t="n">
        <x:v>18.7922</x:v>
      </x:c>
      <x:c r="E10" s="94" t="str">
        <x:v>observed_revised</x:v>
      </x:c>
      <x:c r="F10" s="100" t="n">
        <x:v>94</x:v>
      </x:c>
      <x:c r="G10" s="94" t="str">
        <x:v>observed_supporting_attachment</x:v>
      </x:c>
      <x:c r="H10" s="100" t="n">
        <x:v>390.54</x:v>
      </x:c>
      <x:c r="I10" s="94" t="str">
        <x:v>official_yearbook</x:v>
      </x:c>
      <x:c r="J10" s="100" t="n">
        <x:v>239.01</x:v>
      </x:c>
      <x:c r="K10" s="94" t="str">
        <x:v>official_yearbook</x:v>
      </x:c>
      <x:c r="L10" s="94" t="str">
        <x:v>gov_jz_tourism_stats_2016;gov_jz_tourism_attachment_2015;db_cei_jizhou_macro_20260817</x:v>
      </x:c>
      <x:c r="M10" s="94" t="str">
        <x:v>综合收入证据层级较低；宏观采用天津统计年鉴回列值</x:v>
      </x:c>
    </x:row>
    <x:row r="11" ht="34" customHeight="1">
      <x:c r="A11" s="97" t="n">
        <x:v>2016</x:v>
      </x:c>
      <x:c r="B11" s="100" t="n">
        <x:v>2086</x:v>
      </x:c>
      <x:c r="C11" s="94" t="str">
        <x:v>observed_revised</x:v>
      </x:c>
      <x:c r="D11" s="100" t="n">
        <x:v>21.9172</x:v>
      </x:c>
      <x:c r="E11" s="94" t="str">
        <x:v>observed_revised</x:v>
      </x:c>
      <x:c r="F11" s="100"/>
      <x:c r="G11" s="94"/>
      <x:c r="H11" s="100" t="n">
        <x:v>386.54</x:v>
      </x:c>
      <x:c r="I11" s="94" t="str">
        <x:v>official_yearbook</x:v>
      </x:c>
      <x:c r="J11" s="100" t="n">
        <x:v>228.44</x:v>
      </x:c>
      <x:c r="K11" s="94" t="str">
        <x:v>official_yearbook</x:v>
      </x:c>
      <x:c r="L11" s="94" t="str">
        <x:v>gov_jz_tourism_stats_2017;db_cei_jizhou_macro_20260817</x:v>
      </x:c>
      <x:c r="M11" s="94" t="str">
        <x:v>未找到同口径综合收入；宏观采用天津统计年鉴回列值</x:v>
      </x:c>
    </x:row>
    <x:row r="12" ht="34" customHeight="1">
      <x:c r="A12" s="97" t="n">
        <x:v>2017</x:v>
      </x:c>
      <x:c r="B12" s="100" t="n">
        <x:v>2392</x:v>
      </x:c>
      <x:c r="C12" s="94" t="str">
        <x:v>observed</x:v>
      </x:c>
      <x:c r="D12" s="100" t="n">
        <x:v>26.1347</x:v>
      </x:c>
      <x:c r="E12" s="94" t="str">
        <x:v>observed</x:v>
      </x:c>
      <x:c r="F12" s="100" t="n">
        <x:v>130</x:v>
      </x:c>
      <x:c r="G12" s="94" t="str">
        <x:v>observed_rounded</x:v>
      </x:c>
      <x:c r="H12" s="100" t="n">
        <x:v>365.42</x:v>
      </x:c>
      <x:c r="I12" s="94" t="str">
        <x:v>official_yearbook</x:v>
      </x:c>
      <x:c r="J12" s="100" t="n">
        <x:v>213.38</x:v>
      </x:c>
      <x:c r="K12" s="94" t="str">
        <x:v>official_yearbook</x:v>
      </x:c>
      <x:c r="L12" s="94" t="str">
        <x:v>gov_jz_tourism_stats_2017;gov_jz_report_2018;db_cei_jizhou_macro_20260817</x:v>
      </x:c>
      <x:c r="M12" s="94" t="str">
        <x:v>工作报告游客约数2400未覆盖统计表精确值2392；宏观采用天津统计年鉴回列值</x:v>
      </x:c>
    </x:row>
    <x:row r="13" ht="34" customHeight="1">
      <x:c r="A13" s="97" t="n">
        <x:v>2018</x:v>
      </x:c>
      <x:c r="B13" s="100" t="n">
        <x:v>2660</x:v>
      </x:c>
      <x:c r="C13" s="94" t="str">
        <x:v>observed_rounded</x:v>
      </x:c>
      <x:c r="D13" s="100"/>
      <x:c r="E13" s="94"/>
      <x:c r="F13" s="100" t="n">
        <x:v>142</x:v>
      </x:c>
      <x:c r="G13" s="94" t="str">
        <x:v>observed_rounded</x:v>
      </x:c>
      <x:c r="H13" s="100" t="n">
        <x:v>381.66</x:v>
      </x:c>
      <x:c r="I13" s="94" t="str">
        <x:v>official_yearbook</x:v>
      </x:c>
      <x:c r="J13" s="100" t="n">
        <x:v>234.32</x:v>
      </x:c>
      <x:c r="K13" s="94" t="str">
        <x:v>official_yearbook</x:v>
      </x:c>
      <x:c r="L13" s="94" t="str">
        <x:v>gov_jz_report_2019;db_cei_jizhou_macro_20260817</x:v>
      </x:c>
      <x:c r="M13" s="94" t="str">
        <x:v>宏观采用中经网天津统计年鉴回列值并由EPS交叉核验</x:v>
      </x:c>
    </x:row>
    <x:row r="14" ht="34" customHeight="1">
      <x:c r="A14" s="97" t="n">
        <x:v>2019</x:v>
      </x:c>
      <x:c r="B14" s="100" t="n">
        <x:v>2800</x:v>
      </x:c>
      <x:c r="C14" s="94" t="str">
        <x:v>observed_rounded</x:v>
      </x:c>
      <x:c r="D14" s="100"/>
      <x:c r="E14" s="94"/>
      <x:c r="F14" s="100" t="n">
        <x:v>165</x:v>
      </x:c>
      <x:c r="G14" s="94" t="str">
        <x:v>observed_rounded</x:v>
      </x:c>
      <x:c r="H14" s="100" t="n">
        <x:v>219.62</x:v>
      </x:c>
      <x:c r="I14" s="94" t="str">
        <x:v>official_yearbook</x:v>
      </x:c>
      <x:c r="J14" s="100" t="n">
        <x:v>136.91</x:v>
      </x:c>
      <x:c r="K14" s="94" t="str">
        <x:v>official_yearbook</x:v>
      </x:c>
      <x:c r="L14" s="94" t="str">
        <x:v>gov_jz_report_2020;gov_jz_bulletin_2019;db_cei_jizhou_macro_20260817</x:v>
      </x:c>
      <x:c r="M14" s="94" t="str">
        <x:v>宏观采用天津统计年鉴回列值；与2018年相比仍存在明显口径断点</x:v>
      </x:c>
    </x:row>
    <x:row r="15" ht="34" customHeight="1">
      <x:c r="A15" s="97" t="n">
        <x:v>2020</x:v>
      </x:c>
      <x:c r="B15" s="100"/>
      <x:c r="C15" s="94"/>
      <x:c r="D15" s="100"/>
      <x:c r="E15" s="94"/>
      <x:c r="F15" s="100"/>
      <x:c r="G15" s="94"/>
      <x:c r="H15" s="100" t="n">
        <x:v>230.34</x:v>
      </x:c>
      <x:c r="I15" s="94" t="str">
        <x:v>official_yearbook</x:v>
      </x:c>
      <x:c r="J15" s="100" t="n">
        <x:v>141.54</x:v>
      </x:c>
      <x:c r="K15" s="94" t="str">
        <x:v>official_yearbook</x:v>
      </x:c>
      <x:c r="L15" s="94" t="str">
        <x:v>gov_jz_bulletin_2020;db_cei_jizhou_macro_20260817</x:v>
      </x:c>
      <x:c r="M15" s="94" t="str">
        <x:v>疫情年份未找到可核验的年度旅游总量；宏观采用天津统计年鉴回列值</x:v>
      </x:c>
    </x:row>
    <x:row r="16" ht="34" customHeight="1">
      <x:c r="A16" s="97" t="n">
        <x:v>2021</x:v>
      </x:c>
      <x:c r="B16" s="100"/>
      <x:c r="C16" s="94"/>
      <x:c r="D16" s="100"/>
      <x:c r="E16" s="94"/>
      <x:c r="F16" s="100" t="n">
        <x:v>110</x:v>
      </x:c>
      <x:c r="G16" s="94" t="str">
        <x:v>observed_rounded</x:v>
      </x:c>
      <x:c r="H16" s="100" t="n">
        <x:v>274.2034</x:v>
      </x:c>
      <x:c r="I16" s="94" t="str">
        <x:v>official_revised</x:v>
      </x:c>
      <x:c r="J16" s="100" t="n">
        <x:v>161.9732</x:v>
      </x:c>
      <x:c r="K16" s="94" t="str">
        <x:v>official_revised</x:v>
      </x:c>
      <x:c r="L16" s="94" t="str">
        <x:v>gov_jz_report_2022;gov_jz_yearbook_2022</x:v>
      </x:c>
      <x:c r="M16" s="94" t="str">
        <x:v>未找到精确游客量；宏观指标采用后版年鉴修订值</x:v>
      </x:c>
    </x:row>
    <x:row r="17" ht="34" customHeight="1">
      <x:c r="A17" s="97" t="n">
        <x:v>2022</x:v>
      </x:c>
      <x:c r="B17" s="100"/>
      <x:c r="C17" s="94"/>
      <x:c r="D17" s="100"/>
      <x:c r="E17" s="94"/>
      <x:c r="F17" s="100"/>
      <x:c r="G17" s="94"/>
      <x:c r="H17" s="100" t="n">
        <x:v>282.2414</x:v>
      </x:c>
      <x:c r="I17" s="94" t="str">
        <x:v>official_revised</x:v>
      </x:c>
      <x:c r="J17" s="100" t="n">
        <x:v>171.2106</x:v>
      </x:c>
      <x:c r="K17" s="94" t="str">
        <x:v>official_revised</x:v>
      </x:c>
      <x:c r="L17" s="94" t="str">
        <x:v>gov_jz_yearbook_2023</x:v>
      </x:c>
      <x:c r="M17" s="94" t="str">
        <x:v>未找到可核验的年度游客量及实际综合收入</x:v>
      </x:c>
    </x:row>
    <x:row r="18" ht="34" customHeight="1">
      <x:c r="A18" s="97" t="n">
        <x:v>2023</x:v>
      </x:c>
      <x:c r="B18" s="100" t="n">
        <x:v>2363</x:v>
      </x:c>
      <x:c r="C18" s="94" t="str">
        <x:v>observed_rounded</x:v>
      </x:c>
      <x:c r="D18" s="100"/>
      <x:c r="E18" s="94"/>
      <x:c r="F18" s="100" t="n">
        <x:v>191.5</x:v>
      </x:c>
      <x:c r="G18" s="94" t="str">
        <x:v>observed</x:v>
      </x:c>
      <x:c r="H18" s="100" t="n">
        <x:v>288.3062</x:v>
      </x:c>
      <x:c r="I18" s="94" t="str">
        <x:v>official_final</x:v>
      </x:c>
      <x:c r="J18" s="100" t="n">
        <x:v>176.1714</x:v>
      </x:c>
      <x:c r="K18" s="94" t="str">
        <x:v>official_final</x:v>
      </x:c>
      <x:c r="L18" s="94" t="str">
        <x:v>gov_jz_report_2024;gov_jz_yearbook_2024</x:v>
      </x:c>
      <x:c r="M18" s="94" t="str">
        <x:v>宏观指标采用2024年鉴最终核实值</x:v>
      </x:c>
    </x:row>
    <x:row r="19" ht="34" customHeight="1">
      <x:c r="A19" s="97" t="n">
        <x:v>2024</x:v>
      </x:c>
      <x:c r="B19" s="100" t="n">
        <x:v>2643</x:v>
      </x:c>
      <x:c r="C19" s="94" t="str">
        <x:v>observed_rounded</x:v>
      </x:c>
      <x:c r="D19" s="100"/>
      <x:c r="E19" s="94"/>
      <x:c r="F19" s="100" t="n">
        <x:v>221</x:v>
      </x:c>
      <x:c r="G19" s="94" t="str">
        <x:v>observed_rounded</x:v>
      </x:c>
      <x:c r="H19" s="100" t="n">
        <x:v>298.865</x:v>
      </x:c>
      <x:c r="I19" s="94" t="str">
        <x:v>official_yearbook</x:v>
      </x:c>
      <x:c r="J19" s="100" t="n">
        <x:v>183.9654</x:v>
      </x:c>
      <x:c r="K19" s="94" t="str">
        <x:v>official_yearbook</x:v>
      </x:c>
      <x:c r="L19" s="94" t="str">
        <x:v>gov_jz_report_2025;gov_jz_yearbook_2024</x:v>
      </x:c>
      <x:c r="M19" s="94" t="str">
        <x:v>宏观指标采用2024年鉴现价值</x:v>
      </x:c>
    </x:row>
    <x:row r="20" ht="34" customHeight="1">
      <x:c r="A20" s="98" t="n">
        <x:v>2025</x:v>
      </x:c>
      <x:c r="B20" s="101"/>
      <x:c r="C20" s="95"/>
      <x:c r="D20" s="101"/>
      <x:c r="E20" s="95"/>
      <x:c r="F20" s="101"/>
      <x:c r="G20" s="95"/>
      <x:c r="H20" s="101" t="n">
        <x:v>311.94</x:v>
      </x:c>
      <x:c r="I20" s="95" t="str">
        <x:v>official_initial</x:v>
      </x:c>
      <x:c r="J20" s="101" t="n">
        <x:v>195.17</x:v>
      </x:c>
      <x:c r="K20" s="95" t="str">
        <x:v>official_initial</x:v>
      </x:c>
      <x:c r="L20" s="95" t="str">
        <x:v>gov_jz_bulletin_2025</x:v>
      </x:c>
      <x:c r="M20" s="95" t="str">
        <x:v>政府报告仅给2025年目标和2021至2025累计值；不作为年度实际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a4c281bf626348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30" hidden="0" customWidth="1"/>
    <x:col min="5" max="5" width="48" hidden="0" customWidth="1"/>
    <x:col min="6" max="6" width="13" hidden="0" customWidth="1"/>
    <x:col min="7" max="7" width="13" hidden="0" customWidth="1"/>
    <x:col min="8" max="8" width="14" hidden="0" customWidth="1"/>
    <x:col min="9" max="9" width="14" hidden="0" customWidth="1"/>
    <x:col min="10" max="10" width="30" hidden="0" customWidth="1"/>
    <x:col min="11" max="11" width="48" hidden="0" customWidth="1"/>
    <x:col min="12" max="12" width="13" hidden="0" customWidth="1"/>
    <x:col min="13" max="13" width="13" hidden="0" customWidth="1"/>
  </x:cols>
  <x:sheetData>
    <x:row r="1" ht="36" customHeight="1">
      <x:c r="A1" s="3" t="str">
        <x:v>缺失值补全、证据角色与区间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8" customHeight="1">
      <x:c r="A2" s="78" t="str">
        <x:v>补全优先级：官方优选值 &gt; 透明代数/累计约束 &gt; 同口径代理情景。所有非官方值都标注“不允许作为官方实测”，并提供低—高敏感性范围。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</x:row>
    <x:row r="4">
      <x:c r="A4" s="90" t="str">
        <x:v>年份</x:v>
      </x:c>
      <x:c r="B4" s="91" t="str">
        <x:v>游客官方值</x:v>
      </x:c>
      <x:c r="C4" s="91" t="str">
        <x:v>游客建模值</x:v>
      </x:c>
      <x:c r="D4" s="91" t="str">
        <x:v>游客数据角色</x:v>
      </x:c>
      <x:c r="E4" s="91" t="str">
        <x:v>游客补全方法</x:v>
      </x:c>
      <x:c r="F4" s="91" t="str">
        <x:v>游客低值</x:v>
      </x:c>
      <x:c r="G4" s="91" t="str">
        <x:v>游客高值</x:v>
      </x:c>
      <x:c r="H4" s="91" t="str">
        <x:v>收入官方值</x:v>
      </x:c>
      <x:c r="I4" s="91" t="str">
        <x:v>收入建模值</x:v>
      </x:c>
      <x:c r="J4" s="91" t="str">
        <x:v>收入数据角色</x:v>
      </x:c>
      <x:c r="K4" s="91" t="str">
        <x:v>收入补全方法</x:v>
      </x:c>
      <x:c r="L4" s="91" t="str">
        <x:v>收入低值</x:v>
      </x:c>
      <x:c r="M4" s="92" t="str">
        <x:v>收入高值</x:v>
      </x:c>
    </x:row>
    <x:row r="5" ht="45" customHeight="1">
      <x:c r="A5" s="93" t="n">
        <x:v>2010</x:v>
      </x:c>
      <x:c r="B5" s="99" t="n">
        <x:v>848</x:v>
      </x:c>
      <x:c r="C5" s="99" t="n">
        <x:v>848</x:v>
      </x:c>
      <x:c r="D5" s="93" t="str">
        <x:v>official_preferred</x:v>
      </x:c>
      <x:c r="E5" s="93" t="str"/>
      <x:c r="F5" s="99" t="n">
        <x:v>848</x:v>
      </x:c>
      <x:c r="G5" s="99" t="n">
        <x:v>848</x:v>
      </x:c>
      <x:c r="H5" s="99" t="n">
        <x:v>35.521236</x:v>
      </x:c>
      <x:c r="I5" s="99" t="n">
        <x:v>35.521236</x:v>
      </x:c>
      <x:c r="J5" s="93" t="str">
        <x:v>official_preferred</x:v>
      </x:c>
      <x:c r="K5" s="93" t="str"/>
      <x:c r="L5" s="99" t="n">
        <x:v>35.521236</x:v>
      </x:c>
      <x:c r="M5" s="99" t="n">
        <x:v>35.521236</x:v>
      </x:c>
    </x:row>
    <x:row r="6" ht="45" customHeight="1">
      <x:c r="A6" s="94" t="n">
        <x:v>2011</x:v>
      </x:c>
      <x:c r="B6" s="100" t="n">
        <x:v>1098.6</x:v>
      </x:c>
      <x:c r="C6" s="100" t="n">
        <x:v>1098.6</x:v>
      </x:c>
      <x:c r="D6" s="94" t="str">
        <x:v>official_preferred</x:v>
      </x:c>
      <x:c r="E6" s="94" t="str"/>
      <x:c r="F6" s="100" t="n">
        <x:v>1098.6</x:v>
      </x:c>
      <x:c r="G6" s="100" t="n">
        <x:v>1098.6</x:v>
      </x:c>
      <x:c r="H6" s="100" t="n">
        <x:v>46</x:v>
      </x:c>
      <x:c r="I6" s="100" t="n">
        <x:v>46</x:v>
      </x:c>
      <x:c r="J6" s="94" t="str">
        <x:v>official_preferred</x:v>
      </x:c>
      <x:c r="K6" s="94" t="str"/>
      <x:c r="L6" s="100" t="n">
        <x:v>46</x:v>
      </x:c>
      <x:c r="M6" s="100" t="n">
        <x:v>46</x:v>
      </x:c>
    </x:row>
    <x:row r="7" ht="45" customHeight="1">
      <x:c r="A7" s="94" t="n">
        <x:v>2012</x:v>
      </x:c>
      <x:c r="B7" s="100" t="n">
        <x:v>1152</x:v>
      </x:c>
      <x:c r="C7" s="100" t="n">
        <x:v>1152</x:v>
      </x:c>
      <x:c r="D7" s="94" t="str">
        <x:v>official_preferred</x:v>
      </x:c>
      <x:c r="E7" s="94" t="str"/>
      <x:c r="F7" s="100" t="n">
        <x:v>1152</x:v>
      </x:c>
      <x:c r="G7" s="100" t="n">
        <x:v>1152</x:v>
      </x:c>
      <x:c r="H7" s="100" t="n">
        <x:v>52</x:v>
      </x:c>
      <x:c r="I7" s="100" t="n">
        <x:v>52</x:v>
      </x:c>
      <x:c r="J7" s="94" t="str">
        <x:v>official_preferred</x:v>
      </x:c>
      <x:c r="K7" s="94" t="str"/>
      <x:c r="L7" s="100" t="n">
        <x:v>52</x:v>
      </x:c>
      <x:c r="M7" s="100" t="n">
        <x:v>52</x:v>
      </x:c>
    </x:row>
    <x:row r="8" ht="45" customHeight="1">
      <x:c r="A8" s="94" t="n">
        <x:v>2013</x:v>
      </x:c>
      <x:c r="B8" s="100" t="n">
        <x:v>1295</x:v>
      </x:c>
      <x:c r="C8" s="100" t="n">
        <x:v>1295</x:v>
      </x:c>
      <x:c r="D8" s="94" t="str">
        <x:v>official_preferred</x:v>
      </x:c>
      <x:c r="E8" s="94" t="str"/>
      <x:c r="F8" s="100" t="n">
        <x:v>1295</x:v>
      </x:c>
      <x:c r="G8" s="100" t="n">
        <x:v>1295</x:v>
      </x:c>
      <x:c r="H8" s="100" t="n">
        <x:v>63.2</x:v>
      </x:c>
      <x:c r="I8" s="100" t="n">
        <x:v>63.2</x:v>
      </x:c>
      <x:c r="J8" s="94" t="str">
        <x:v>official_preferred</x:v>
      </x:c>
      <x:c r="K8" s="94" t="str"/>
      <x:c r="L8" s="100" t="n">
        <x:v>63.2</x:v>
      </x:c>
      <x:c r="M8" s="100" t="n">
        <x:v>63.2</x:v>
      </x:c>
    </x:row>
    <x:row r="9" ht="45" customHeight="1">
      <x:c r="A9" s="94" t="n">
        <x:v>2014</x:v>
      </x:c>
      <x:c r="B9" s="100" t="n">
        <x:v>1553.4</x:v>
      </x:c>
      <x:c r="C9" s="100" t="n">
        <x:v>1553.4</x:v>
      </x:c>
      <x:c r="D9" s="94" t="str">
        <x:v>official_preferred</x:v>
      </x:c>
      <x:c r="E9" s="94" t="str"/>
      <x:c r="F9" s="100" t="n">
        <x:v>1553.4</x:v>
      </x:c>
      <x:c r="G9" s="100" t="n">
        <x:v>1553.4</x:v>
      </x:c>
      <x:c r="H9" s="100" t="n">
        <x:v>79</x:v>
      </x:c>
      <x:c r="I9" s="100" t="n">
        <x:v>79</x:v>
      </x:c>
      <x:c r="J9" s="94" t="str">
        <x:v>official_preferred</x:v>
      </x:c>
      <x:c r="K9" s="94" t="str"/>
      <x:c r="L9" s="100" t="n">
        <x:v>79</x:v>
      </x:c>
      <x:c r="M9" s="100" t="n">
        <x:v>79</x:v>
      </x:c>
    </x:row>
    <x:row r="10" ht="45" customHeight="1">
      <x:c r="A10" s="94" t="n">
        <x:v>2015</x:v>
      </x:c>
      <x:c r="B10" s="100" t="n">
        <x:v>1818.72</x:v>
      </x:c>
      <x:c r="C10" s="100" t="n">
        <x:v>1818.72</x:v>
      </x:c>
      <x:c r="D10" s="94" t="str">
        <x:v>official_preferred</x:v>
      </x:c>
      <x:c r="E10" s="94" t="str"/>
      <x:c r="F10" s="100" t="n">
        <x:v>1818.72</x:v>
      </x:c>
      <x:c r="G10" s="100" t="n">
        <x:v>1818.72</x:v>
      </x:c>
      <x:c r="H10" s="100" t="n">
        <x:v>94</x:v>
      </x:c>
      <x:c r="I10" s="100" t="n">
        <x:v>94</x:v>
      </x:c>
      <x:c r="J10" s="94" t="str">
        <x:v>official_preferred</x:v>
      </x:c>
      <x:c r="K10" s="94" t="str"/>
      <x:c r="L10" s="100" t="n">
        <x:v>94</x:v>
      </x:c>
      <x:c r="M10" s="100" t="n">
        <x:v>94</x:v>
      </x:c>
    </x:row>
    <x:row r="11" ht="45" customHeight="1">
      <x:c r="A11" s="94" t="n">
        <x:v>2016</x:v>
      </x:c>
      <x:c r="B11" s="100" t="n">
        <x:v>2086</x:v>
      </x:c>
      <x:c r="C11" s="100" t="n">
        <x:v>2086</x:v>
      </x:c>
      <x:c r="D11" s="94" t="str">
        <x:v>official_preferred</x:v>
      </x:c>
      <x:c r="E11" s="94" t="str"/>
      <x:c r="F11" s="100" t="n">
        <x:v>2086</x:v>
      </x:c>
      <x:c r="G11" s="100" t="n">
        <x:v>2086</x:v>
      </x:c>
      <x:c r="H11" s="100"/>
      <x:c r="I11" s="100" t="n">
        <x:v>108.7866</x:v>
      </x:c>
      <x:c r="J11" s="94" t="str">
        <x:v>algebraic_derived_diagnostic</x:v>
      </x:c>
      <x:c r="K11" s="94" t="str">
        <x:v>130/1.195（取整值反推，仅诊断）</x:v>
      </x:c>
      <x:c r="L11" s="100" t="n">
        <x:v>104</x:v>
      </x:c>
      <x:c r="M11" s="100" t="n">
        <x:v>113.8</x:v>
      </x:c>
    </x:row>
    <x:row r="12" ht="45" customHeight="1">
      <x:c r="A12" s="94" t="n">
        <x:v>2017</x:v>
      </x:c>
      <x:c r="B12" s="100" t="n">
        <x:v>2392</x:v>
      </x:c>
      <x:c r="C12" s="100" t="n">
        <x:v>2392</x:v>
      </x:c>
      <x:c r="D12" s="94" t="str">
        <x:v>official_preferred</x:v>
      </x:c>
      <x:c r="E12" s="94" t="str"/>
      <x:c r="F12" s="100" t="n">
        <x:v>2392</x:v>
      </x:c>
      <x:c r="G12" s="100" t="n">
        <x:v>2392</x:v>
      </x:c>
      <x:c r="H12" s="100" t="n">
        <x:v>130</x:v>
      </x:c>
      <x:c r="I12" s="100" t="n">
        <x:v>130</x:v>
      </x:c>
      <x:c r="J12" s="94" t="str">
        <x:v>official_preferred</x:v>
      </x:c>
      <x:c r="K12" s="94" t="str"/>
      <x:c r="L12" s="100" t="n">
        <x:v>130</x:v>
      </x:c>
      <x:c r="M12" s="100" t="n">
        <x:v>130</x:v>
      </x:c>
    </x:row>
    <x:row r="13" ht="45" customHeight="1">
      <x:c r="A13" s="94" t="n">
        <x:v>2018</x:v>
      </x:c>
      <x:c r="B13" s="100" t="n">
        <x:v>2660</x:v>
      </x:c>
      <x:c r="C13" s="100" t="n">
        <x:v>2660</x:v>
      </x:c>
      <x:c r="D13" s="94" t="str">
        <x:v>official_preferred</x:v>
      </x:c>
      <x:c r="E13" s="94" t="str"/>
      <x:c r="F13" s="100" t="n">
        <x:v>2660</x:v>
      </x:c>
      <x:c r="G13" s="100" t="n">
        <x:v>2660</x:v>
      </x:c>
      <x:c r="H13" s="100" t="n">
        <x:v>142</x:v>
      </x:c>
      <x:c r="I13" s="100" t="n">
        <x:v>142</x:v>
      </x:c>
      <x:c r="J13" s="94" t="str">
        <x:v>official_preferred</x:v>
      </x:c>
      <x:c r="K13" s="94" t="str"/>
      <x:c r="L13" s="100" t="n">
        <x:v>142</x:v>
      </x:c>
      <x:c r="M13" s="100" t="n">
        <x:v>142</x:v>
      </x:c>
    </x:row>
    <x:row r="14" ht="45" customHeight="1">
      <x:c r="A14" s="94" t="n">
        <x:v>2019</x:v>
      </x:c>
      <x:c r="B14" s="100" t="n">
        <x:v>2800</x:v>
      </x:c>
      <x:c r="C14" s="100" t="n">
        <x:v>2800</x:v>
      </x:c>
      <x:c r="D14" s="94" t="str">
        <x:v>official_preferred</x:v>
      </x:c>
      <x:c r="E14" s="94" t="str"/>
      <x:c r="F14" s="100" t="n">
        <x:v>2800</x:v>
      </x:c>
      <x:c r="G14" s="100" t="n">
        <x:v>2800</x:v>
      </x:c>
      <x:c r="H14" s="100" t="n">
        <x:v>165</x:v>
      </x:c>
      <x:c r="I14" s="100" t="n">
        <x:v>165</x:v>
      </x:c>
      <x:c r="J14" s="94" t="str">
        <x:v>official_preferred</x:v>
      </x:c>
      <x:c r="K14" s="94" t="str"/>
      <x:c r="L14" s="100" t="n">
        <x:v>165</x:v>
      </x:c>
      <x:c r="M14" s="100" t="n">
        <x:v>165</x:v>
      </x:c>
    </x:row>
    <x:row r="15" ht="45" customHeight="1">
      <x:c r="A15" s="94" t="n">
        <x:v>2020</x:v>
      </x:c>
      <x:c r="B15" s="100"/>
      <x:c r="C15" s="100" t="n">
        <x:v>2426.15942456541</x:v>
      </x:c>
      <x:c r="D15" s="94" t="str">
        <x:v>shock_proxy_scenario</x:v>
      </x:c>
      <x:c r="E15" s="94" t="str">
        <x:v>2019值×sqrt(2020客房收入比×(1-社零降幅19.1%))</x:v>
      </x:c>
      <x:c r="F15" s="100" t="n">
        <x:v>2265.2</x:v>
      </x:c>
      <x:c r="G15" s="100" t="n">
        <x:v>2598.5562217056163</x:v>
      </x:c>
      <x:c r="H15" s="100"/>
      <x:c r="I15" s="100" t="n">
        <x:v>142.97010894760453</x:v>
      </x:c>
      <x:c r="J15" s="94" t="str">
        <x:v>shock_proxy_scenario</x:v>
      </x:c>
      <x:c r="K15" s="94" t="str">
        <x:v>2019值×sqrt(2020客房收入比×(1-社零降幅19.1%))</x:v>
      </x:c>
      <x:c r="L15" s="100" t="n">
        <x:v>133.48499999999999</x:v>
      </x:c>
      <x:c r="M15" s="100" t="n">
        <x:v>153.1292059219381</x:v>
      </x:c>
    </x:row>
    <x:row r="16" ht="45" customHeight="1">
      <x:c r="A16" s="94" t="n">
        <x:v>2021</x:v>
      </x:c>
      <x:c r="B16" s="100"/>
      <x:c r="C16" s="100" t="n">
        <x:v>1779.4785632993512</x:v>
      </x:c>
      <x:c r="D16" s="94" t="str">
        <x:v>aggregate_constrained_imputation</x:v>
      </x:c>
      <x:c r="E16" s="94" t="str">
        <x:v>2021—2022合计2803；客房收入份额与综合收入代理份额等权分配</x:v>
      </x:c>
      <x:c r="F16" s="100" t="n">
        <x:v>1698.7358644621352</x:v>
      </x:c>
      <x:c r="G16" s="100" t="n">
        <x:v>1860.2212621365668</x:v>
      </x:c>
      <x:c r="H16" s="100" t="n">
        <x:v>110</x:v>
      </x:c>
      <x:c r="I16" s="100" t="n">
        <x:v>110</x:v>
      </x:c>
      <x:c r="J16" s="94" t="str">
        <x:v>official_preferred</x:v>
      </x:c>
      <x:c r="K16" s="94" t="str"/>
      <x:c r="L16" s="100" t="n">
        <x:v>110</x:v>
      </x:c>
      <x:c r="M16" s="100" t="n">
        <x:v>110</x:v>
      </x:c>
    </x:row>
    <x:row r="17" ht="45" customHeight="1">
      <x:c r="A17" s="94" t="n">
        <x:v>2022</x:v>
      </x:c>
      <x:c r="B17" s="100"/>
      <x:c r="C17" s="100" t="n">
        <x:v>1023.5214367006488</x:v>
      </x:c>
      <x:c r="D17" s="94" t="str">
        <x:v>aggregate_constrained_imputation</x:v>
      </x:c>
      <x:c r="E17" s="94" t="str">
        <x:v>2021—2022合计2803；客房收入份额与综合收入代理份额等权分配</x:v>
      </x:c>
      <x:c r="F17" s="100" t="n">
        <x:v>942.7787378634332</x:v>
      </x:c>
      <x:c r="G17" s="100" t="n">
        <x:v>1104.2641355378648</x:v>
      </x:c>
      <x:c r="H17" s="100"/>
      <x:c r="I17" s="100" t="n">
        <x:v>55.7491</x:v>
      </x:c>
      <x:c r="J17" s="94" t="str">
        <x:v>target_implied_diagnostic</x:v>
      </x:c>
      <x:c r="K17" s="94" t="str">
        <x:v>160/(1+187%)（2023目标与目标增速反推）</x:v>
      </x:c>
      <x:c r="L17" s="100" t="n">
        <x:v>50</x:v>
      </x:c>
      <x:c r="M17" s="100" t="n">
        <x:v>65</x:v>
      </x:c>
    </x:row>
    <x:row r="18" ht="45" customHeight="1">
      <x:c r="A18" s="94" t="n">
        <x:v>2023</x:v>
      </x:c>
      <x:c r="B18" s="100" t="n">
        <x:v>2363</x:v>
      </x:c>
      <x:c r="C18" s="100" t="n">
        <x:v>2363</x:v>
      </x:c>
      <x:c r="D18" s="94" t="str">
        <x:v>official_preferred</x:v>
      </x:c>
      <x:c r="E18" s="94" t="str"/>
      <x:c r="F18" s="100" t="n">
        <x:v>2363</x:v>
      </x:c>
      <x:c r="G18" s="100" t="n">
        <x:v>2363</x:v>
      </x:c>
      <x:c r="H18" s="100" t="n">
        <x:v>191.5</x:v>
      </x:c>
      <x:c r="I18" s="100" t="n">
        <x:v>191.5</x:v>
      </x:c>
      <x:c r="J18" s="94" t="str">
        <x:v>official_preferred</x:v>
      </x:c>
      <x:c r="K18" s="94" t="str"/>
      <x:c r="L18" s="100" t="n">
        <x:v>191.5</x:v>
      </x:c>
      <x:c r="M18" s="100" t="n">
        <x:v>191.5</x:v>
      </x:c>
    </x:row>
    <x:row r="19" ht="45" customHeight="1">
      <x:c r="A19" s="94" t="n">
        <x:v>2024</x:v>
      </x:c>
      <x:c r="B19" s="100" t="n">
        <x:v>2643</x:v>
      </x:c>
      <x:c r="C19" s="100" t="n">
        <x:v>2643</x:v>
      </x:c>
      <x:c r="D19" s="94" t="str">
        <x:v>official_preferred</x:v>
      </x:c>
      <x:c r="E19" s="94" t="str"/>
      <x:c r="F19" s="100" t="n">
        <x:v>2643</x:v>
      </x:c>
      <x:c r="G19" s="100" t="n">
        <x:v>2643</x:v>
      </x:c>
      <x:c r="H19" s="100" t="n">
        <x:v>221</x:v>
      </x:c>
      <x:c r="I19" s="100" t="n">
        <x:v>221</x:v>
      </x:c>
      <x:c r="J19" s="94" t="str">
        <x:v>official_preferred</x:v>
      </x:c>
      <x:c r="K19" s="94" t="str"/>
      <x:c r="L19" s="100" t="n">
        <x:v>221</x:v>
      </x:c>
      <x:c r="M19" s="100" t="n">
        <x:v>221</x:v>
      </x:c>
    </x:row>
    <x:row r="20" ht="45" customHeight="1">
      <x:c r="A20" s="95" t="n">
        <x:v>2025</x:v>
      </x:c>
      <x:c r="B20" s="101"/>
      <x:c r="C20" s="101" t="n">
        <x:v>2691</x:v>
      </x:c>
      <x:c r="D20" s="95" t="str">
        <x:v>secondary_reported_sensitivity</x:v>
      </x:c>
      <x:c r="E20" s="95" t="str">
        <x:v>二手报道年度值，仅用于敏感性/锚点</x:v>
      </x:c>
      <x:c r="F20" s="101" t="n">
        <x:v>2600</x:v>
      </x:c>
      <x:c r="G20" s="101" t="n">
        <x:v>2800</x:v>
      </x:c>
      <x:c r="H20" s="101"/>
      <x:c r="I20" s="101" t="n">
        <x:v>214.2509</x:v>
      </x:c>
      <x:c r="J20" s="95" t="str">
        <x:v>aggregate_constraint_scenario</x:v>
      </x:c>
      <x:c r="K20" s="95" t="str">
        <x:v>五年累计余量270-2022情景值55.7491</x:v>
      </x:c>
      <x:c r="L20" s="101" t="n">
        <x:v>200</x:v>
      </x:c>
      <x:c r="M20" s="101" t="n">
        <x:v>231</x:v>
      </x:c>
    </x:row>
  </x:sheetData>
  <x:mergeCells>
    <x:mergeCell ref="A1:M1"/>
    <x:mergeCell ref="A2:M2"/>
  </x:mergeCells>
  <x:conditionalFormatting sqref="D5:D20">
    <x:cfRule type="notContainsText" dxfId="0" priority="1" text="official_preferred"/>
  </x:conditionalFormatting>
  <x:conditionalFormatting sqref="J5:J20">
    <x:cfRule type="notContainsText" dxfId="1" priority="2" text="official_preferred"/>
  </x:conditionalFormatting>
  <x:pageMargins left="0.7" right="0.7" top="0.75" bottom="0.75" header="0.3" footer="0.3"/>
  <x:tableParts count="1">
    <x:tablePart xmlns:r="http://schemas.openxmlformats.org/officeDocument/2006/relationships" r:id="R14a6e16b4c1f4d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2" hidden="0" customWidth="1"/>
    <x:col min="5" max="5" width="15" hidden="0" customWidth="1"/>
    <x:col min="6" max="6" width="16" hidden="0" customWidth="1"/>
    <x:col min="7" max="7" width="9" hidden="0" customWidth="1"/>
    <x:col min="8" max="8" width="9" hidden="0" customWidth="1"/>
    <x:col min="9" max="9" width="14" hidden="0" customWidth="1"/>
    <x:col min="10" max="10" width="30" hidden="0" customWidth="1"/>
    <x:col min="11" max="11" width="30" hidden="0" customWidth="1"/>
    <x:col min="12" max="12" width="28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3" hidden="0" customWidth="1"/>
    <x:col min="18" max="18" width="13" hidden="0" customWidth="1"/>
    <x:col min="19" max="19" width="14" hidden="0" customWidth="1"/>
    <x:col min="20" max="20" width="14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 ht="36" customHeight="1">
      <x:c r="A1" s="3" t="str">
        <x:v>建模主表（完整核心序列＋公式化转换）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8" customHeight="1">
      <x:c r="A2" s="78" t="str">
        <x:v>B—E列由缺失补全与严格年度数据映射；F、M—T列为Excel公式。若使用树模型，可直接使用B—E原尺度；Ridge/SVM优先使用Z-score；弹性模型使用对数。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</x:row>
    <x:row r="4">
      <x:c r="A4" s="90" t="str">
        <x:v>年份</x:v>
      </x:c>
      <x:c r="B4" s="91" t="str">
        <x:v>游客量(万人次)</x:v>
      </x:c>
      <x:c r="C4" s="91" t="str">
        <x:v>综合收入(亿元)</x:v>
      </x:c>
      <x:c r="D4" s="91" t="str">
        <x:v>GDP(亿元)</x:v>
      </x:c>
      <x:c r="E4" s="91" t="str">
        <x:v>第三产业(亿元)</x:v>
      </x:c>
      <x:c r="F4" s="91" t="str">
        <x:v>人均次消费(元)</x:v>
      </x:c>
      <x:c r="G4" s="91" t="str">
        <x:v>疫情期</x:v>
      </x:c>
      <x:c r="H4" s="91" t="str">
        <x:v>恢复期</x:v>
      </x:c>
      <x:c r="I4" s="91" t="str">
        <x:v>宏观口径断点</x:v>
      </x:c>
      <x:c r="J4" s="91" t="str">
        <x:v>游客数据角色</x:v>
      </x:c>
      <x:c r="K4" s="91" t="str">
        <x:v>收入数据角色</x:v>
      </x:c>
      <x:c r="L4" s="91" t="str">
        <x:v>异常标记</x:v>
      </x:c>
      <x:c r="M4" s="91" t="str">
        <x:v>ln游客</x:v>
      </x:c>
      <x:c r="N4" s="91" t="str">
        <x:v>ln收入</x:v>
      </x:c>
      <x:c r="O4" s="91" t="str">
        <x:v>Z游客</x:v>
      </x:c>
      <x:c r="P4" s="91" t="str">
        <x:v>Z收入</x:v>
      </x:c>
      <x:c r="Q4" s="91" t="str">
        <x:v>MinMax游客</x:v>
      </x:c>
      <x:c r="R4" s="91" t="str">
        <x:v>MinMax收入</x:v>
      </x:c>
      <x:c r="S4" s="91" t="str">
        <x:v>游客log同比</x:v>
      </x:c>
      <x:c r="T4" s="91" t="str">
        <x:v>收入log同比</x:v>
      </x:c>
      <x:c r="U4" s="91" t="str">
        <x:v>游客低</x:v>
      </x:c>
      <x:c r="V4" s="91" t="str">
        <x:v>游客高</x:v>
      </x:c>
      <x:c r="W4" s="91" t="str">
        <x:v>收入低</x:v>
      </x:c>
      <x:c r="X4" s="92" t="str">
        <x:v>收入高</x:v>
      </x:c>
    </x:row>
    <x:row r="5" ht="34" customHeight="1">
      <x:c r="A5" s="93" t="n">
        <x:v>2010</x:v>
      </x:c>
      <x:c r="B5" s="99" t="n">
        <x:f>'缺失补全'!C5</x:f>
        <x:v>848</x:v>
      </x:c>
      <x:c r="C5" s="99" t="n">
        <x:f>'缺失补全'!I5</x:f>
        <x:v>35.521236</x:v>
      </x:c>
      <x:c r="D5" s="99" t="n">
        <x:v>215.47</x:v>
      </x:c>
      <x:c r="E5" s="99" t="n">
        <x:v>136.23</x:v>
      </x:c>
      <x:c r="F5" s="99" t="n">
        <x:f>C5*10000/B5</x:f>
        <x:v>418.88250000000005</x:v>
      </x:c>
      <x:c r="G5" s="93" t="n">
        <x:v>0</x:v>
      </x:c>
      <x:c r="H5" s="93" t="n">
        <x:v>0</x:v>
      </x:c>
      <x:c r="I5" s="93" t="n">
        <x:v>0</x:v>
      </x:c>
      <x:c r="J5" s="93" t="str">
        <x:v>official_preferred</x:v>
      </x:c>
      <x:c r="K5" s="93" t="str">
        <x:v>official_preferred</x:v>
      </x:c>
      <x:c r="L5" s="93" t="str"/>
      <x:c r="M5" s="102" t="n">
        <x:f>LN(B5)</x:f>
        <x:v>6.742880635791903</x:v>
      </x:c>
      <x:c r="N5" s="102" t="n">
        <x:f>LN(C5)</x:f>
        <x:v>3.5701307148158548</x:v>
      </x:c>
      <x:c r="O5" s="102" t="n">
        <x:f>(B5-AVERAGE($B$5:$B$20))/STDEV.P($B$5:$B$20)</x:f>
        <x:v>-1.6222089992757214</x:v>
      </x:c>
      <x:c r="P5" s="102" t="n">
        <x:f>(C5-AVERAGE($C$5:$C$20))/STDEV.P($C$5:$C$20)</x:f>
        <x:v>-1.3772341021502315</x:v>
      </x:c>
      <x:c r="Q5" s="102" t="n">
        <x:f>(B5-MIN($B$5:$B$20))/(MAX($B$5:$B$20)-MIN($B$5:$B$20))</x:f>
        <x:v>0</x:v>
      </x:c>
      <x:c r="R5" s="102" t="n">
        <x:f>(C5-MIN($C$5:$C$20))/(MAX($C$5:$C$20)-MIN($C$5:$C$20))</x:f>
        <x:v>0</x:v>
      </x:c>
      <x:c r="S5" s="102"/>
      <x:c r="T5" s="102"/>
      <x:c r="U5" s="99" t="n">
        <x:f>'缺失补全'!F5</x:f>
        <x:v>848</x:v>
      </x:c>
      <x:c r="V5" s="99" t="n">
        <x:f>'缺失补全'!G5</x:f>
        <x:v>848</x:v>
      </x:c>
      <x:c r="W5" s="99" t="n">
        <x:f>'缺失补全'!L5</x:f>
        <x:v>35.521236</x:v>
      </x:c>
      <x:c r="X5" s="99" t="n">
        <x:f>'缺失补全'!M5</x:f>
        <x:v>35.521236</x:v>
      </x:c>
    </x:row>
    <x:row r="6" ht="34" customHeight="1">
      <x:c r="A6" s="94" t="n">
        <x:v>2011</x:v>
      </x:c>
      <x:c r="B6" s="100" t="n">
        <x:f>'缺失补全'!C6</x:f>
        <x:v>1098.6</x:v>
      </x:c>
      <x:c r="C6" s="100" t="n">
        <x:f>'缺失补全'!I6</x:f>
        <x:v>46</x:v>
      </x:c>
      <x:c r="D6" s="100" t="n">
        <x:v>250.11</x:v>
      </x:c>
      <x:c r="E6" s="100" t="n">
        <x:v>147.02</x:v>
      </x:c>
      <x:c r="F6" s="100" t="n">
        <x:f>C6*10000/B6</x:f>
        <x:v>418.7147278354269</x:v>
      </x:c>
      <x:c r="G6" s="94" t="n">
        <x:v>0</x:v>
      </x:c>
      <x:c r="H6" s="94" t="n">
        <x:v>0</x:v>
      </x:c>
      <x:c r="I6" s="94" t="n">
        <x:v>0</x:v>
      </x:c>
      <x:c r="J6" s="94" t="str">
        <x:v>official_preferred</x:v>
      </x:c>
      <x:c r="K6" s="94" t="str">
        <x:v>official_preferred</x:v>
      </x:c>
      <x:c r="L6" s="94" t="str"/>
      <x:c r="M6" s="103" t="n">
        <x:f>LN(B6)</x:f>
        <x:v>7.00179192090852</x:v>
      </x:c>
      <x:c r="N6" s="103" t="n">
        <x:f>LN(C6)</x:f>
        <x:v>3.828641396489095</x:v>
      </x:c>
      <x:c r="O6" s="103" t="n">
        <x:f>(B6-AVERAGE($B$5:$B$20))/STDEV.P($B$5:$B$20)</x:f>
        <x:v>-1.2409843380504761</x:v>
      </x:c>
      <x:c r="P6" s="103" t="n">
        <x:f>(C6-AVERAGE($C$5:$C$20))/STDEV.P($C$5:$C$20)</x:f>
        <x:v>-1.1972087577801942</x:v>
      </x:c>
      <x:c r="Q6" s="103" t="n">
        <x:f>(B6-MIN($B$5:$B$20))/(MAX($B$5:$B$20)-MIN($B$5:$B$20))</x:f>
        <x:v>0.12838114754098356</x:v>
      </x:c>
      <x:c r="R6" s="103" t="n">
        <x:f>(C6-MIN($C$5:$C$20))/(MAX($C$5:$C$20)-MIN($C$5:$C$20))</x:f>
        <x:v>0.056495761423124416</x:v>
      </x:c>
      <x:c r="S6" s="103" t="n">
        <x:f>LN(B6/B5)</x:f>
        <x:v>0.2589112851166169</x:v>
      </x:c>
      <x:c r="T6" s="103" t="n">
        <x:f>LN(C6/C5)</x:f>
        <x:v>0.2585106816732403</x:v>
      </x:c>
      <x:c r="U6" s="100" t="n">
        <x:f>'缺失补全'!F6</x:f>
        <x:v>1098.6</x:v>
      </x:c>
      <x:c r="V6" s="100" t="n">
        <x:f>'缺失补全'!G6</x:f>
        <x:v>1098.6</x:v>
      </x:c>
      <x:c r="W6" s="100" t="n">
        <x:f>'缺失补全'!L6</x:f>
        <x:v>46</x:v>
      </x:c>
      <x:c r="X6" s="100" t="n">
        <x:f>'缺失补全'!M6</x:f>
        <x:v>46</x:v>
      </x:c>
    </x:row>
    <x:row r="7" ht="34" customHeight="1">
      <x:c r="A7" s="94" t="n">
        <x:v>2012</x:v>
      </x:c>
      <x:c r="B7" s="100" t="n">
        <x:f>'缺失补全'!C7</x:f>
        <x:v>1152</x:v>
      </x:c>
      <x:c r="C7" s="100" t="n">
        <x:f>'缺失补全'!I7</x:f>
        <x:v>52</x:v>
      </x:c>
      <x:c r="D7" s="100" t="n">
        <x:v>291.52</x:v>
      </x:c>
      <x:c r="E7" s="100" t="n">
        <x:v>168.36</x:v>
      </x:c>
      <x:c r="F7" s="100" t="n">
        <x:f>C7*10000/B7</x:f>
        <x:v>451.3888888888889</x:v>
      </x:c>
      <x:c r="G7" s="94" t="n">
        <x:v>0</x:v>
      </x:c>
      <x:c r="H7" s="94" t="n">
        <x:v>0</x:v>
      </x:c>
      <x:c r="I7" s="94" t="n">
        <x:v>0</x:v>
      </x:c>
      <x:c r="J7" s="94" t="str">
        <x:v>official_preferred</x:v>
      </x:c>
      <x:c r="K7" s="94" t="str">
        <x:v>official_preferred</x:v>
      </x:c>
      <x:c r="L7" s="94" t="str"/>
      <x:c r="M7" s="103" t="n">
        <x:f>LN(B7)</x:f>
        <x:v>7.049254841255837</x:v>
      </x:c>
      <x:c r="N7" s="103" t="n">
        <x:f>LN(C7)</x:f>
        <x:v>3.9512437185814275</x:v>
      </x:c>
      <x:c r="O7" s="103" t="n">
        <x:f>(B7-AVERAGE($B$5:$B$20))/STDEV.P($B$5:$B$20)</x:f>
        <x:v>-1.1597497135116568</x:v>
      </x:c>
      <x:c r="P7" s="103" t="n">
        <x:f>(C7-AVERAGE($C$5:$C$20))/STDEV.P($C$5:$C$20)</x:f>
        <x:v>-1.0941286553730567</x:v>
      </x:c>
      <x:c r="Q7" s="103" t="n">
        <x:f>(B7-MIN($B$5:$B$20))/(MAX($B$5:$B$20)-MIN($B$5:$B$20))</x:f>
        <x:v>0.1557377049180328</x:v>
      </x:c>
      <x:c r="R7" s="103" t="n">
        <x:f>(C7-MIN($C$5:$C$20))/(MAX($C$5:$C$20)-MIN($C$5:$C$20))</x:f>
        <x:v>0.08884447817433158</x:v>
      </x:c>
      <x:c r="S7" s="103" t="n">
        <x:f>LN(B7/B6)</x:f>
        <x:v>0.047462920347316605</x:v>
      </x:c>
      <x:c r="T7" s="103" t="n">
        <x:f>LN(C7/C6)</x:f>
        <x:v>0.12260232209233228</x:v>
      </x:c>
      <x:c r="U7" s="100" t="n">
        <x:f>'缺失补全'!F7</x:f>
        <x:v>1152</x:v>
      </x:c>
      <x:c r="V7" s="100" t="n">
        <x:f>'缺失补全'!G7</x:f>
        <x:v>1152</x:v>
      </x:c>
      <x:c r="W7" s="100" t="n">
        <x:f>'缺失补全'!L7</x:f>
        <x:v>52</x:v>
      </x:c>
      <x:c r="X7" s="100" t="n">
        <x:f>'缺失补全'!M7</x:f>
        <x:v>52</x:v>
      </x:c>
    </x:row>
    <x:row r="8" ht="34" customHeight="1">
      <x:c r="A8" s="94" t="n">
        <x:v>2013</x:v>
      </x:c>
      <x:c r="B8" s="100" t="n">
        <x:f>'缺失补全'!C8</x:f>
        <x:v>1295</x:v>
      </x:c>
      <x:c r="C8" s="100" t="n">
        <x:f>'缺失补全'!I8</x:f>
        <x:v>63.2</x:v>
      </x:c>
      <x:c r="D8" s="100" t="n">
        <x:v>316.84</x:v>
      </x:c>
      <x:c r="E8" s="100" t="n">
        <x:v>184.98</x:v>
      </x:c>
      <x:c r="F8" s="100" t="n">
        <x:f>C8*10000/B8</x:f>
        <x:v>488.03088803088804</x:v>
      </x:c>
      <x:c r="G8" s="94" t="n">
        <x:v>0</x:v>
      </x:c>
      <x:c r="H8" s="94" t="n">
        <x:v>0</x:v>
      </x:c>
      <x:c r="I8" s="94" t="n">
        <x:v>0</x:v>
      </x:c>
      <x:c r="J8" s="94" t="str">
        <x:v>official_preferred</x:v>
      </x:c>
      <x:c r="K8" s="94" t="str">
        <x:v>official_preferred</x:v>
      </x:c>
      <x:c r="L8" s="94" t="str"/>
      <x:c r="M8" s="103" t="n">
        <x:f>LN(B8)</x:f>
        <x:v>7.166265974133638</x:v>
      </x:c>
      <x:c r="N8" s="103" t="n">
        <x:f>LN(C8)</x:f>
        <x:v>4.146304301152812</x:v>
      </x:c>
      <x:c r="O8" s="103" t="n">
        <x:f>(B8-AVERAGE($B$5:$B$20))/STDEV.P($B$5:$B$20)</x:f>
        <x:v>-0.9422112994844817</x:v>
      </x:c>
      <x:c r="P8" s="103" t="n">
        <x:f>(C8-AVERAGE($C$5:$C$20))/STDEV.P($C$5:$C$20)</x:f>
        <x:v>-0.9017124642130669</x:v>
      </x:c>
      <x:c r="Q8" s="103" t="n">
        <x:f>(B8-MIN($B$5:$B$20))/(MAX($B$5:$B$20)-MIN($B$5:$B$20))</x:f>
        <x:v>0.22899590163934427</x:v>
      </x:c>
      <x:c r="R8" s="103" t="n">
        <x:f>(C8-MIN($C$5:$C$20))/(MAX($C$5:$C$20)-MIN($C$5:$C$20))</x:f>
        <x:v>0.14922874944325162</x:v>
      </x:c>
      <x:c r="S8" s="103" t="n">
        <x:f>LN(B8/B7)</x:f>
        <x:v>0.11701113287780156</x:v>
      </x:c>
      <x:c r="T8" s="103" t="n">
        <x:f>LN(C8/C7)</x:f>
        <x:v>0.19506058257138448</x:v>
      </x:c>
      <x:c r="U8" s="100" t="n">
        <x:f>'缺失补全'!F8</x:f>
        <x:v>1295</x:v>
      </x:c>
      <x:c r="V8" s="100" t="n">
        <x:f>'缺失补全'!G8</x:f>
        <x:v>1295</x:v>
      </x:c>
      <x:c r="W8" s="100" t="n">
        <x:f>'缺失补全'!L8</x:f>
        <x:v>63.2</x:v>
      </x:c>
      <x:c r="X8" s="100" t="n">
        <x:f>'缺失补全'!M8</x:f>
        <x:v>63.2</x:v>
      </x:c>
    </x:row>
    <x:row r="9" ht="34" customHeight="1">
      <x:c r="A9" s="94" t="n">
        <x:v>2014</x:v>
      </x:c>
      <x:c r="B9" s="100" t="n">
        <x:f>'缺失补全'!C9</x:f>
        <x:v>1553.4</x:v>
      </x:c>
      <x:c r="C9" s="100" t="n">
        <x:f>'缺失补全'!I9</x:f>
        <x:v>79</x:v>
      </x:c>
      <x:c r="D9" s="100" t="n">
        <x:v>350.91</x:v>
      </x:c>
      <x:c r="E9" s="100" t="n">
        <x:v>205.27</x:v>
      </x:c>
      <x:c r="F9" s="100" t="n">
        <x:f>C9*10000/B9</x:f>
        <x:v>508.5618642976696</x:v>
      </x:c>
      <x:c r="G9" s="94" t="n">
        <x:v>0</x:v>
      </x:c>
      <x:c r="H9" s="94" t="n">
        <x:v>0</x:v>
      </x:c>
      <x:c r="I9" s="94" t="n">
        <x:v>0</x:v>
      </x:c>
      <x:c r="J9" s="94" t="str">
        <x:v>official_preferred</x:v>
      </x:c>
      <x:c r="K9" s="94" t="str">
        <x:v>official_preferred</x:v>
      </x:c>
      <x:c r="L9" s="94" t="str"/>
      <x:c r="M9" s="103" t="n">
        <x:f>LN(B9)</x:f>
        <x:v>7.348201355985547</x:v>
      </x:c>
      <x:c r="N9" s="103" t="n">
        <x:f>LN(C9)</x:f>
        <x:v>4.3694478524670215</x:v>
      </x:c>
      <x:c r="O9" s="103" t="n">
        <x:f>(B9-AVERAGE($B$5:$B$20))/STDEV.P($B$5:$B$20)</x:f>
        <x:v>-0.5491209065850267</x:v>
      </x:c>
      <x:c r="P9" s="103" t="n">
        <x:f>(C9-AVERAGE($C$5:$C$20))/STDEV.P($C$5:$C$20)</x:f>
        <x:v>-0.6302681945409386</x:v>
      </x:c>
      <x:c r="Q9" s="103" t="n">
        <x:f>(B9-MIN($B$5:$B$20))/(MAX($B$5:$B$20)-MIN($B$5:$B$20))</x:f>
        <x:v>0.3613729508196722</x:v>
      </x:c>
      <x:c r="R9" s="103" t="n">
        <x:f>(C9-MIN($C$5:$C$20))/(MAX($C$5:$C$20)-MIN($C$5:$C$20))</x:f>
        <x:v>0.2344137035547638</x:v>
      </x:c>
      <x:c r="S9" s="103" t="n">
        <x:f>LN(B9/B8)</x:f>
        <x:v>0.18193538185190883</x:v>
      </x:c>
      <x:c r="T9" s="103" t="n">
        <x:f>LN(C9/C8)</x:f>
        <x:v>0.22314355131420976</x:v>
      </x:c>
      <x:c r="U9" s="100" t="n">
        <x:f>'缺失补全'!F9</x:f>
        <x:v>1553.4</x:v>
      </x:c>
      <x:c r="V9" s="100" t="n">
        <x:f>'缺失补全'!G9</x:f>
        <x:v>1553.4</x:v>
      </x:c>
      <x:c r="W9" s="100" t="n">
        <x:f>'缺失补全'!L9</x:f>
        <x:v>79</x:v>
      </x:c>
      <x:c r="X9" s="100" t="n">
        <x:f>'缺失补全'!M9</x:f>
        <x:v>79</x:v>
      </x:c>
    </x:row>
    <x:row r="10" ht="34" customHeight="1">
      <x:c r="A10" s="94" t="n">
        <x:v>2015</x:v>
      </x:c>
      <x:c r="B10" s="100" t="n">
        <x:f>'缺失补全'!C10</x:f>
        <x:v>1818.72</x:v>
      </x:c>
      <x:c r="C10" s="100" t="n">
        <x:f>'缺失补全'!I10</x:f>
        <x:v>94</x:v>
      </x:c>
      <x:c r="D10" s="100" t="n">
        <x:v>390.54</x:v>
      </x:c>
      <x:c r="E10" s="100" t="n">
        <x:v>239.01</x:v>
      </x:c>
      <x:c r="F10" s="100" t="n">
        <x:f>C10*10000/B10</x:f>
        <x:v>516.8470132840679</x:v>
      </x:c>
      <x:c r="G10" s="94" t="n">
        <x:v>0</x:v>
      </x:c>
      <x:c r="H10" s="94" t="n">
        <x:v>0</x:v>
      </x:c>
      <x:c r="I10" s="94" t="n">
        <x:v>0</x:v>
      </x:c>
      <x:c r="J10" s="94" t="str">
        <x:v>official_preferred</x:v>
      </x:c>
      <x:c r="K10" s="94" t="str">
        <x:v>official_preferred</x:v>
      </x:c>
      <x:c r="L10" s="94" t="str"/>
      <x:c r="M10" s="103" t="n">
        <x:f>LN(B10)</x:f>
        <x:v>7.5058882359384</x:v>
      </x:c>
      <x:c r="N10" s="103" t="n">
        <x:f>LN(C10)</x:f>
        <x:v>4.543294782270004</x:v>
      </x:c>
      <x:c r="O10" s="103" t="n">
        <x:f>(B10-AVERAGE($B$5:$B$20))/STDEV.P($B$5:$B$20)</x:f>
        <x:v>-0.1455034799438372</x:v>
      </x:c>
      <x:c r="P10" s="103" t="n">
        <x:f>(C10-AVERAGE($C$5:$C$20))/STDEV.P($C$5:$C$20)</x:f>
        <x:v>-0.3725679385230953</x:v>
      </x:c>
      <x:c r="Q10" s="103" t="n">
        <x:f>(B10-MIN($B$5:$B$20))/(MAX($B$5:$B$20)-MIN($B$5:$B$20))</x:f>
        <x:v>0.4972950819672131</x:v>
      </x:c>
      <x:c r="R10" s="103" t="n">
        <x:f>(C10-MIN($C$5:$C$20))/(MAX($C$5:$C$20)-MIN($C$5:$C$20))</x:f>
        <x:v>0.31528549543278167</x:v>
      </x:c>
      <x:c r="S10" s="103" t="n">
        <x:f>LN(B10/B9)</x:f>
        <x:v>0.15768687995285327</x:v>
      </x:c>
      <x:c r="T10" s="103" t="n">
        <x:f>LN(C10/C9)</x:f>
        <x:v>0.17384692980298233</x:v>
      </x:c>
      <x:c r="U10" s="100" t="n">
        <x:f>'缺失补全'!F10</x:f>
        <x:v>1818.72</x:v>
      </x:c>
      <x:c r="V10" s="100" t="n">
        <x:f>'缺失补全'!G10</x:f>
        <x:v>1818.72</x:v>
      </x:c>
      <x:c r="W10" s="100" t="n">
        <x:f>'缺失补全'!L10</x:f>
        <x:v>94</x:v>
      </x:c>
      <x:c r="X10" s="100" t="n">
        <x:f>'缺失补全'!M10</x:f>
        <x:v>94</x:v>
      </x:c>
    </x:row>
    <x:row r="11" ht="34" customHeight="1">
      <x:c r="A11" s="94" t="n">
        <x:v>2016</x:v>
      </x:c>
      <x:c r="B11" s="100" t="n">
        <x:f>'缺失补全'!C11</x:f>
        <x:v>2086</x:v>
      </x:c>
      <x:c r="C11" s="100" t="n">
        <x:f>'缺失补全'!I11</x:f>
        <x:v>108.7866</x:v>
      </x:c>
      <x:c r="D11" s="100" t="n">
        <x:v>386.54</x:v>
      </x:c>
      <x:c r="E11" s="100" t="n">
        <x:v>228.44</x:v>
      </x:c>
      <x:c r="F11" s="100" t="n">
        <x:f>C11*10000/B11</x:f>
        <x:v>521.5081495685522</x:v>
      </x:c>
      <x:c r="G11" s="94" t="n">
        <x:v>0</x:v>
      </x:c>
      <x:c r="H11" s="94" t="n">
        <x:v>0</x:v>
      </x:c>
      <x:c r="I11" s="94" t="n">
        <x:v>0</x:v>
      </x:c>
      <x:c r="J11" s="94" t="str">
        <x:v>official_preferred</x:v>
      </x:c>
      <x:c r="K11" s="94" t="str">
        <x:v>algebraic_derived_diagnostic</x:v>
      </x:c>
      <x:c r="L11" s="94" t="str"/>
      <x:c r="M11" s="103" t="n">
        <x:f>LN(B11)</x:f>
        <x:v>7.643003635560718</x:v>
      </x:c>
      <x:c r="N11" s="103" t="n">
        <x:f>LN(C11)</x:f>
        <x:v>4.689388165072104</x:v>
      </x:c>
      <x:c r="O11" s="103" t="n">
        <x:f>(B11-AVERAGE($B$5:$B$20))/STDEV.P($B$5:$B$20)</x:f>
        <x:v>0.26109559209241007</x:v>
      </x:c>
      <x:c r="P11" s="103" t="n">
        <x:f>(C11-AVERAGE($C$5:$C$20))/STDEV.P($C$5:$C$20)</x:f>
        <x:v>-0.11853389814753228</x:v>
      </x:c>
      <x:c r="Q11" s="103" t="n">
        <x:f>(B11-MIN($B$5:$B$20))/(MAX($B$5:$B$20)-MIN($B$5:$B$20))</x:f>
        <x:v>0.6342213114754098</x:v>
      </x:c>
      <x:c r="R11" s="103" t="n">
        <x:f>(C11-MIN($C$5:$C$20))/(MAX($C$5:$C$20)-MIN($C$5:$C$20))</x:f>
        <x:v>0.39500675128501506</x:v>
      </x:c>
      <x:c r="S11" s="103" t="n">
        <x:f>LN(B11/B10)</x:f>
        <x:v>0.13711539962231728</x:v>
      </x:c>
      <x:c r="T11" s="103" t="n">
        <x:f>LN(C11/C10)</x:f>
        <x:v>0.14609338280209963</x:v>
      </x:c>
      <x:c r="U11" s="100" t="n">
        <x:f>'缺失补全'!F11</x:f>
        <x:v>2086</x:v>
      </x:c>
      <x:c r="V11" s="100" t="n">
        <x:f>'缺失补全'!G11</x:f>
        <x:v>2086</x:v>
      </x:c>
      <x:c r="W11" s="100" t="n">
        <x:f>'缺失补全'!L11</x:f>
        <x:v>104</x:v>
      </x:c>
      <x:c r="X11" s="100" t="n">
        <x:f>'缺失补全'!M11</x:f>
        <x:v>113.8</x:v>
      </x:c>
    </x:row>
    <x:row r="12" ht="34" customHeight="1">
      <x:c r="A12" s="94" t="n">
        <x:v>2017</x:v>
      </x:c>
      <x:c r="B12" s="100" t="n">
        <x:f>'缺失补全'!C12</x:f>
        <x:v>2392</x:v>
      </x:c>
      <x:c r="C12" s="100" t="n">
        <x:f>'缺失补全'!I12</x:f>
        <x:v>130</x:v>
      </x:c>
      <x:c r="D12" s="100" t="n">
        <x:v>365.42</x:v>
      </x:c>
      <x:c r="E12" s="100" t="n">
        <x:v>213.38</x:v>
      </x:c>
      <x:c r="F12" s="100" t="n">
        <x:f>C12*10000/B12</x:f>
        <x:v>543.4782608695652</x:v>
      </x:c>
      <x:c r="G12" s="94" t="n">
        <x:v>0</x:v>
      </x:c>
      <x:c r="H12" s="94" t="n">
        <x:v>0</x:v>
      </x:c>
      <x:c r="I12" s="94" t="n">
        <x:v>0</x:v>
      </x:c>
      <x:c r="J12" s="94" t="str">
        <x:v>official_preferred</x:v>
      </x:c>
      <x:c r="K12" s="94" t="str">
        <x:v>official_preferred</x:v>
      </x:c>
      <x:c r="L12" s="94" t="str"/>
      <x:c r="M12" s="103" t="n">
        <x:f>LN(B12)</x:f>
        <x:v>7.779885115070522</x:v>
      </x:c>
      <x:c r="N12" s="103" t="n">
        <x:f>LN(C12)</x:f>
        <x:v>4.867534450455582</x:v>
      </x:c>
      <x:c r="O12" s="103" t="n">
        <x:f>(B12-AVERAGE($B$5:$B$20))/STDEV.P($B$5:$B$20)</x:f>
        <x:v>0.726597373157554</x:v>
      </x:c>
      <x:c r="P12" s="103" t="n">
        <x:f>(C12-AVERAGE($C$5:$C$20))/STDEV.P($C$5:$C$20)</x:f>
        <x:v>0.24591267591972887</x:v>
      </x:c>
      <x:c r="Q12" s="103" t="n">
        <x:f>(B12-MIN($B$5:$B$20))/(MAX($B$5:$B$20)-MIN($B$5:$B$20))</x:f>
        <x:v>0.7909836065573771</x:v>
      </x:c>
      <x:c r="R12" s="103" t="n">
        <x:f>(C12-MIN($C$5:$C$20))/(MAX($C$5:$C$20)-MIN($C$5:$C$20))</x:f>
        <x:v>0.5093777959400246</x:v>
      </x:c>
      <x:c r="S12" s="103" t="n">
        <x:f>LN(B12/B11)</x:f>
        <x:v>0.1368814795098046</x:v>
      </x:c>
      <x:c r="T12" s="103" t="n">
        <x:f>LN(C12/C11)</x:f>
        <x:v>0.17814628538347899</x:v>
      </x:c>
      <x:c r="U12" s="100" t="n">
        <x:f>'缺失补全'!F12</x:f>
        <x:v>2392</x:v>
      </x:c>
      <x:c r="V12" s="100" t="n">
        <x:f>'缺失补全'!G12</x:f>
        <x:v>2392</x:v>
      </x:c>
      <x:c r="W12" s="100" t="n">
        <x:f>'缺失补全'!L12</x:f>
        <x:v>130</x:v>
      </x:c>
      <x:c r="X12" s="100" t="n">
        <x:f>'缺失补全'!M12</x:f>
        <x:v>130</x:v>
      </x:c>
    </x:row>
    <x:row r="13" ht="34" customHeight="1">
      <x:c r="A13" s="94" t="n">
        <x:v>2018</x:v>
      </x:c>
      <x:c r="B13" s="100" t="n">
        <x:f>'缺失补全'!C13</x:f>
        <x:v>2660</x:v>
      </x:c>
      <x:c r="C13" s="100" t="n">
        <x:f>'缺失补全'!I13</x:f>
        <x:v>142</x:v>
      </x:c>
      <x:c r="D13" s="100" t="n">
        <x:v>381.66</x:v>
      </x:c>
      <x:c r="E13" s="100" t="n">
        <x:v>234.32</x:v>
      </x:c>
      <x:c r="F13" s="100" t="n">
        <x:f>C13*10000/B13</x:f>
        <x:v>533.8345864661654</x:v>
      </x:c>
      <x:c r="G13" s="94" t="n">
        <x:v>0</x:v>
      </x:c>
      <x:c r="H13" s="94" t="n">
        <x:v>0</x:v>
      </x:c>
      <x:c r="I13" s="94" t="n">
        <x:v>0</x:v>
      </x:c>
      <x:c r="J13" s="94" t="str">
        <x:v>official_preferred</x:v>
      </x:c>
      <x:c r="K13" s="94" t="str">
        <x:v>official_preferred</x:v>
      </x:c>
      <x:c r="L13" s="94" t="str"/>
      <x:c r="M13" s="103" t="n">
        <x:f>LN(B13)</x:f>
        <x:v>7.886081401775745</x:v>
      </x:c>
      <x:c r="N13" s="103" t="n">
        <x:f>LN(C13)</x:f>
        <x:v>4.955827057601261</x:v>
      </x:c>
      <x:c r="O13" s="103" t="n">
        <x:f>(B13-AVERAGE($B$5:$B$20))/STDEV.P($B$5:$B$20)</x:f>
        <x:v>1.13429174350219</x:v>
      </x:c>
      <x:c r="P13" s="103" t="n">
        <x:f>(C13-AVERAGE($C$5:$C$20))/STDEV.P($C$5:$C$20)</x:f>
        <x:v>0.4520728807340036</x:v>
      </x:c>
      <x:c r="Q13" s="103" t="n">
        <x:f>(B13-MIN($B$5:$B$20))/(MAX($B$5:$B$20)-MIN($B$5:$B$20))</x:f>
        <x:v>0.9282786885245902</x:v>
      </x:c>
      <x:c r="R13" s="103" t="n">
        <x:f>(C13-MIN($C$5:$C$20))/(MAX($C$5:$C$20)-MIN($C$5:$C$20))</x:f>
        <x:v>0.5740752294424389</x:v>
      </x:c>
      <x:c r="S13" s="103" t="n">
        <x:f>LN(B13/B12)</x:f>
        <x:v>0.10619628670522244</x:v>
      </x:c>
      <x:c r="T13" s="103" t="n">
        <x:f>LN(C13/C12)</x:f>
        <x:v>0.08829260714567821</x:v>
      </x:c>
      <x:c r="U13" s="100" t="n">
        <x:f>'缺失补全'!F13</x:f>
        <x:v>2660</x:v>
      </x:c>
      <x:c r="V13" s="100" t="n">
        <x:f>'缺失补全'!G13</x:f>
        <x:v>2660</x:v>
      </x:c>
      <x:c r="W13" s="100" t="n">
        <x:f>'缺失补全'!L13</x:f>
        <x:v>142</x:v>
      </x:c>
      <x:c r="X13" s="100" t="n">
        <x:f>'缺失补全'!M13</x:f>
        <x:v>142</x:v>
      </x:c>
    </x:row>
    <x:row r="14" ht="34" customHeight="1">
      <x:c r="A14" s="94" t="n">
        <x:v>2019</x:v>
      </x:c>
      <x:c r="B14" s="100" t="n">
        <x:f>'缺失补全'!C14</x:f>
        <x:v>2800</x:v>
      </x:c>
      <x:c r="C14" s="100" t="n">
        <x:f>'缺失补全'!I14</x:f>
        <x:v>165</x:v>
      </x:c>
      <x:c r="D14" s="100" t="n">
        <x:v>219.62</x:v>
      </x:c>
      <x:c r="E14" s="100" t="n">
        <x:v>136.91</x:v>
      </x:c>
      <x:c r="F14" s="100" t="n">
        <x:f>C14*10000/B14</x:f>
        <x:v>589.2857142857143</x:v>
      </x:c>
      <x:c r="G14" s="94" t="n">
        <x:v>0</x:v>
      </x:c>
      <x:c r="H14" s="94" t="n">
        <x:v>0</x:v>
      </x:c>
      <x:c r="I14" s="94" t="n">
        <x:v>1</x:v>
      </x:c>
      <x:c r="J14" s="94" t="str">
        <x:v>official_preferred</x:v>
      </x:c>
      <x:c r="K14" s="94" t="str">
        <x:v>official_preferred</x:v>
      </x:c>
      <x:c r="L14" s="94" t="str">
        <x:v>GDP、第三产业增加值</x:v>
      </x:c>
      <x:c r="M14" s="103" t="n">
        <x:f>LN(B14)</x:f>
        <x:v>7.937374696163295</x:v>
      </x:c>
      <x:c r="N14" s="103" t="n">
        <x:f>LN(C14)</x:f>
        <x:v>5.10594547390058</x:v>
      </x:c>
      <x:c r="O14" s="103" t="n">
        <x:f>(B14-AVERAGE($B$5:$B$20))/STDEV.P($B$5:$B$20)</x:f>
        <x:v>1.347266414577746</x:v>
      </x:c>
      <x:c r="P14" s="103" t="n">
        <x:f>(C14-AVERAGE($C$5:$C$20))/STDEV.P($C$5:$C$20)</x:f>
        <x:v>0.8472132732946968</x:v>
      </x:c>
      <x:c r="Q14" s="103" t="n">
        <x:f>(B14-MIN($B$5:$B$20))/(MAX($B$5:$B$20)-MIN($B$5:$B$20))</x:f>
        <x:v>1</x:v>
      </x:c>
      <x:c r="R14" s="103" t="n">
        <x:f>(C14-MIN($C$5:$C$20))/(MAX($C$5:$C$20)-MIN($C$5:$C$20))</x:f>
        <x:v>0.6980786436553998</x:v>
      </x:c>
      <x:c r="S14" s="103" t="n">
        <x:f>LN(B14/B13)</x:f>
        <x:v>0.05129329438755048</x:v>
      </x:c>
      <x:c r="T14" s="103" t="n">
        <x:f>LN(C14/C13)</x:f>
        <x:v>0.15011841629931988</x:v>
      </x:c>
      <x:c r="U14" s="100" t="n">
        <x:f>'缺失补全'!F14</x:f>
        <x:v>2800</x:v>
      </x:c>
      <x:c r="V14" s="100" t="n">
        <x:f>'缺失补全'!G14</x:f>
        <x:v>2800</x:v>
      </x:c>
      <x:c r="W14" s="100" t="n">
        <x:f>'缺失补全'!L14</x:f>
        <x:v>165</x:v>
      </x:c>
      <x:c r="X14" s="100" t="n">
        <x:f>'缺失补全'!M14</x:f>
        <x:v>165</x:v>
      </x:c>
    </x:row>
    <x:row r="15" ht="34" customHeight="1">
      <x:c r="A15" s="94" t="n">
        <x:v>2020</x:v>
      </x:c>
      <x:c r="B15" s="100" t="n">
        <x:f>'缺失补全'!C15</x:f>
        <x:v>2426.15942456541</x:v>
      </x:c>
      <x:c r="C15" s="100" t="n">
        <x:f>'缺失补全'!I15</x:f>
        <x:v>142.97010894760453</x:v>
      </x:c>
      <x:c r="D15" s="100" t="n">
        <x:v>230.34</x:v>
      </x:c>
      <x:c r="E15" s="100" t="n">
        <x:v>141.54</x:v>
      </x:c>
      <x:c r="F15" s="100" t="n">
        <x:f>C15*10000/B15</x:f>
        <x:v>589.2857142857143</x:v>
      </x:c>
      <x:c r="G15" s="94" t="n">
        <x:v>1</x:v>
      </x:c>
      <x:c r="H15" s="94" t="n">
        <x:v>0</x:v>
      </x:c>
      <x:c r="I15" s="94" t="n">
        <x:v>1</x:v>
      </x:c>
      <x:c r="J15" s="94" t="str">
        <x:v>shock_proxy_scenario</x:v>
      </x:c>
      <x:c r="K15" s="94" t="str">
        <x:v>shock_proxy_scenario</x:v>
      </x:c>
      <x:c r="L15" s="94" t="str">
        <x:v>游客量</x:v>
      </x:c>
      <x:c r="M15" s="103" t="n">
        <x:f>LN(B15)</x:f>
        <x:v>7.794064802334724</x:v>
      </x:c>
      <x:c r="N15" s="103" t="n">
        <x:f>LN(C15)</x:f>
        <x:v>4.96263558007201</x:v>
      </x:c>
      <x:c r="O15" s="103" t="n">
        <x:f>(B15-AVERAGE($B$5:$B$20))/STDEV.P($B$5:$B$20)</x:f>
        <x:v>0.7785623175214718</x:v>
      </x:c>
      <x:c r="P15" s="103" t="n">
        <x:f>(C15-AVERAGE($C$5:$C$20))/STDEV.P($C$5:$C$20)</x:f>
        <x:v>0.46873936901152946</x:v>
      </x:c>
      <x:c r="Q15" s="103" t="n">
        <x:f>(B15-MIN($B$5:$B$20))/(MAX($B$5:$B$20)-MIN($B$5:$B$20))</x:f>
        <x:v>0.8084833117650666</x:v>
      </x:c>
      <x:c r="R15" s="103" t="n">
        <x:f>(C15-MIN($C$5:$C$20))/(MAX($C$5:$C$20)-MIN($C$5:$C$20))</x:f>
        <x:v>0.5793055260364174</x:v>
      </x:c>
      <x:c r="S15" s="103" t="n">
        <x:f>LN(B15/B14)</x:f>
        <x:v>-0.14330989382857123</x:v>
      </x:c>
      <x:c r="T15" s="103" t="n">
        <x:f>LN(C15/C14)</x:f>
        <x:v>-0.1433098938285711</x:v>
      </x:c>
      <x:c r="U15" s="100" t="n">
        <x:f>'缺失补全'!F15</x:f>
        <x:v>2265.2</x:v>
      </x:c>
      <x:c r="V15" s="100" t="n">
        <x:f>'缺失补全'!G15</x:f>
        <x:v>2598.5562217056163</x:v>
      </x:c>
      <x:c r="W15" s="100" t="n">
        <x:f>'缺失补全'!L15</x:f>
        <x:v>133.48499999999999</x:v>
      </x:c>
      <x:c r="X15" s="100" t="n">
        <x:f>'缺失补全'!M15</x:f>
        <x:v>153.1292059219381</x:v>
      </x:c>
    </x:row>
    <x:row r="16" ht="34" customHeight="1">
      <x:c r="A16" s="94" t="n">
        <x:v>2021</x:v>
      </x:c>
      <x:c r="B16" s="100" t="n">
        <x:f>'缺失补全'!C16</x:f>
        <x:v>1779.4785632993512</x:v>
      </x:c>
      <x:c r="C16" s="100" t="n">
        <x:f>'缺失补全'!I16</x:f>
        <x:v>110</x:v>
      </x:c>
      <x:c r="D16" s="100" t="n">
        <x:v>274.2034</x:v>
      </x:c>
      <x:c r="E16" s="100" t="n">
        <x:v>161.9732</x:v>
      </x:c>
      <x:c r="F16" s="100" t="n">
        <x:f>C16*10000/B16</x:f>
        <x:v>618.1586126895946</x:v>
      </x:c>
      <x:c r="G16" s="94" t="n">
        <x:v>1</x:v>
      </x:c>
      <x:c r="H16" s="94" t="n">
        <x:v>0</x:v>
      </x:c>
      <x:c r="I16" s="94" t="n">
        <x:v>1</x:v>
      </x:c>
      <x:c r="J16" s="94" t="str">
        <x:v>aggregate_constrained_imputation</x:v>
      </x:c>
      <x:c r="K16" s="94" t="str">
        <x:v>official_preferred</x:v>
      </x:c>
      <x:c r="L16" s="94" t="str">
        <x:v>游客量、旅游综合收入</x:v>
      </x:c>
      <x:c r="M16" s="103" t="n">
        <x:f>LN(B16)</x:f>
        <x:v>7.484075658403595</x:v>
      </x:c>
      <x:c r="N16" s="103" t="n">
        <x:f>LN(C16)</x:f>
        <x:v>4.700480365792417</x:v>
      </x:c>
      <x:c r="O16" s="103" t="n">
        <x:f>(B16-AVERAGE($B$5:$B$20))/STDEV.P($B$5:$B$20)</x:f>
        <x:v>-0.20519942332850102</x:v>
      </x:c>
      <x:c r="P16" s="103" t="n">
        <x:f>(C16-AVERAGE($C$5:$C$20))/STDEV.P($C$5:$C$20)</x:f>
        <x:v>-0.09768766543739565</x:v>
      </x:c>
      <x:c r="Q16" s="103" t="n">
        <x:f>(B16-MIN($B$5:$B$20))/(MAX($B$5:$B$20)-MIN($B$5:$B$20))</x:f>
        <x:v>0.47719188693614306</x:v>
      </x:c>
      <x:c r="R16" s="103" t="n">
        <x:f>(C16-MIN($C$5:$C$20))/(MAX($C$5:$C$20)-MIN($C$5:$C$20))</x:f>
        <x:v>0.40154874010266745</x:v>
      </x:c>
      <x:c r="S16" s="103" t="n">
        <x:f>LN(B16/B15)</x:f>
        <x:v>-0.30998914393112925</x:v>
      </x:c>
      <x:c r="T16" s="103" t="n">
        <x:f>LN(C16/C15)</x:f>
        <x:v>-0.2621552142795932</x:v>
      </x:c>
      <x:c r="U16" s="100" t="n">
        <x:f>'缺失补全'!F16</x:f>
        <x:v>1698.7358644621352</x:v>
      </x:c>
      <x:c r="V16" s="100" t="n">
        <x:f>'缺失补全'!G16</x:f>
        <x:v>1860.2212621365668</x:v>
      </x:c>
      <x:c r="W16" s="100" t="n">
        <x:f>'缺失补全'!L16</x:f>
        <x:v>110</x:v>
      </x:c>
      <x:c r="X16" s="100" t="n">
        <x:f>'缺失补全'!M16</x:f>
        <x:v>110</x:v>
      </x:c>
    </x:row>
    <x:row r="17" ht="34" customHeight="1">
      <x:c r="A17" s="94" t="n">
        <x:v>2022</x:v>
      </x:c>
      <x:c r="B17" s="100" t="n">
        <x:f>'缺失补全'!C17</x:f>
        <x:v>1023.5214367006488</x:v>
      </x:c>
      <x:c r="C17" s="100" t="n">
        <x:f>'缺失补全'!I17</x:f>
        <x:v>55.7491</x:v>
      </x:c>
      <x:c r="D17" s="100" t="n">
        <x:v>282.2414</x:v>
      </x:c>
      <x:c r="E17" s="100" t="n">
        <x:v>171.2106</x:v>
      </x:c>
      <x:c r="F17" s="100" t="n">
        <x:f>C17*10000/B17</x:f>
        <x:v>544.6793589366223</x:v>
      </x:c>
      <x:c r="G17" s="94" t="n">
        <x:v>1</x:v>
      </x:c>
      <x:c r="H17" s="94" t="n">
        <x:v>0</x:v>
      </x:c>
      <x:c r="I17" s="94" t="n">
        <x:v>1</x:v>
      </x:c>
      <x:c r="J17" s="94" t="str">
        <x:v>aggregate_constrained_imputation</x:v>
      </x:c>
      <x:c r="K17" s="94" t="str">
        <x:v>target_implied_diagnostic</x:v>
      </x:c>
      <x:c r="L17" s="94" t="str">
        <x:v>游客量、旅游综合收入、人均次消费</x:v>
      </x:c>
      <x:c r="M17" s="103" t="n">
        <x:f>LN(B17)</x:f>
        <x:v>6.931004349386797</x:v>
      </x:c>
      <x:c r="N17" s="103" t="n">
        <x:f>LN(C17)</x:f>
        <x:v>4.020861266712163</x:v>
      </x:c>
      <x:c r="O17" s="103" t="n">
        <x:f>(B17-AVERAGE($B$5:$B$20))/STDEV.P($B$5:$B$20)</x:f>
        <x:v>-1.3551974260755093</x:v>
      </x:c>
      <x:c r="P17" s="103" t="n">
        <x:f>(C17-AVERAGE($C$5:$C$20))/STDEV.P($C$5:$C$20)</x:f>
        <x:v>-1.029719053383957</x:v>
      </x:c>
      <x:c r="Q17" s="103" t="n">
        <x:f>(B17-MIN($B$5:$B$20))/(MAX($B$5:$B$20)-MIN($B$5:$B$20))</x:f>
        <x:v>0.08991876880156188</x:v>
      </x:c>
      <x:c r="R17" s="103" t="n">
        <x:f>(C17-MIN($C$5:$C$20))/(MAX($C$5:$C$20)-MIN($C$5:$C$20))</x:f>
        <x:v>0.10905757383632336</x:v>
      </x:c>
      <x:c r="S17" s="103" t="n">
        <x:f>LN(B17/B16)</x:f>
        <x:v>-0.5530713090167974</x:v>
      </x:c>
      <x:c r="T17" s="103" t="n">
        <x:f>LN(C17/C16)</x:f>
        <x:v>-0.6796190990802536</x:v>
      </x:c>
      <x:c r="U17" s="100" t="n">
        <x:f>'缺失补全'!F17</x:f>
        <x:v>942.7787378634332</x:v>
      </x:c>
      <x:c r="V17" s="100" t="n">
        <x:f>'缺失补全'!G17</x:f>
        <x:v>1104.2641355378648</x:v>
      </x:c>
      <x:c r="W17" s="100" t="n">
        <x:f>'缺失补全'!L17</x:f>
        <x:v>50</x:v>
      </x:c>
      <x:c r="X17" s="100" t="n">
        <x:f>'缺失补全'!M17</x:f>
        <x:v>65</x:v>
      </x:c>
    </x:row>
    <x:row r="18" ht="34" customHeight="1">
      <x:c r="A18" s="94" t="n">
        <x:v>2023</x:v>
      </x:c>
      <x:c r="B18" s="100" t="n">
        <x:f>'缺失补全'!C18</x:f>
        <x:v>2363</x:v>
      </x:c>
      <x:c r="C18" s="100" t="n">
        <x:f>'缺失补全'!I18</x:f>
        <x:v>191.5</x:v>
      </x:c>
      <x:c r="D18" s="100" t="n">
        <x:v>288.3062</x:v>
      </x:c>
      <x:c r="E18" s="100" t="n">
        <x:v>176.1714</x:v>
      </x:c>
      <x:c r="F18" s="100" t="n">
        <x:f>C18*10000/B18</x:f>
        <x:v>810.4104951333052</x:v>
      </x:c>
      <x:c r="G18" s="94" t="n">
        <x:v>0</x:v>
      </x:c>
      <x:c r="H18" s="94" t="n">
        <x:v>1</x:v>
      </x:c>
      <x:c r="I18" s="94" t="n">
        <x:v>1</x:v>
      </x:c>
      <x:c r="J18" s="94" t="str">
        <x:v>official_preferred</x:v>
      </x:c>
      <x:c r="K18" s="94" t="str">
        <x:v>official_preferred</x:v>
      </x:c>
      <x:c r="L18" s="94" t="str">
        <x:v>游客量、旅游综合收入、人均次消费</x:v>
      </x:c>
      <x:c r="M18" s="103" t="n">
        <x:f>LN(B18)</x:f>
        <x:v>7.767687277186908</x:v>
      </x:c>
      <x:c r="N18" s="103" t="n">
        <x:f>LN(C18)</x:f>
        <x:v>5.254887808620701</x:v>
      </x:c>
      <x:c r="O18" s="103" t="n">
        <x:f>(B18-AVERAGE($B$5:$B$20))/STDEV.P($B$5:$B$20)</x:f>
        <x:v>0.6824811912919032</x:v>
      </x:c>
      <x:c r="P18" s="103" t="n">
        <x:f>(C18-AVERAGE($C$5:$C$20))/STDEV.P($C$5:$C$20)</x:f>
        <x:v>1.3024837255928867</x:v>
      </x:c>
      <x:c r="Q18" s="103" t="n">
        <x:f>(B18-MIN($B$5:$B$20))/(MAX($B$5:$B$20)-MIN($B$5:$B$20))</x:f>
        <x:v>0.7761270491803278</x:v>
      </x:c>
      <x:c r="R18" s="103" t="n">
        <x:f>(C18-MIN($C$5:$C$20))/(MAX($C$5:$C$20)-MIN($C$5:$C$20))</x:f>
        <x:v>0.8409521426398981</x:v>
      </x:c>
      <x:c r="S18" s="103" t="n">
        <x:f>LN(B18/B17)</x:f>
        <x:v>0.8366829278001104</x:v>
      </x:c>
      <x:c r="T18" s="103" t="n">
        <x:f>LN(C18/C17)</x:f>
        <x:v>1.234026541908538</x:v>
      </x:c>
      <x:c r="U18" s="100" t="n">
        <x:f>'缺失补全'!F18</x:f>
        <x:v>2363</x:v>
      </x:c>
      <x:c r="V18" s="100" t="n">
        <x:f>'缺失补全'!G18</x:f>
        <x:v>2363</x:v>
      </x:c>
      <x:c r="W18" s="100" t="n">
        <x:f>'缺失补全'!L18</x:f>
        <x:v>191.5</x:v>
      </x:c>
      <x:c r="X18" s="100" t="n">
        <x:f>'缺失补全'!M18</x:f>
        <x:v>191.5</x:v>
      </x:c>
    </x:row>
    <x:row r="19" ht="34" customHeight="1">
      <x:c r="A19" s="94" t="n">
        <x:v>2024</x:v>
      </x:c>
      <x:c r="B19" s="100" t="n">
        <x:f>'缺失补全'!C19</x:f>
        <x:v>2643</x:v>
      </x:c>
      <x:c r="C19" s="100" t="n">
        <x:f>'缺失补全'!I19</x:f>
        <x:v>221</x:v>
      </x:c>
      <x:c r="D19" s="100" t="n">
        <x:v>298.865</x:v>
      </x:c>
      <x:c r="E19" s="100" t="n">
        <x:v>183.9654</x:v>
      </x:c>
      <x:c r="F19" s="100" t="n">
        <x:f>C19*10000/B19</x:f>
        <x:v>836.1710177828226</x:v>
      </x:c>
      <x:c r="G19" s="94" t="n">
        <x:v>0</x:v>
      </x:c>
      <x:c r="H19" s="94" t="n">
        <x:v>1</x:v>
      </x:c>
      <x:c r="I19" s="94" t="n">
        <x:v>1</x:v>
      </x:c>
      <x:c r="J19" s="94" t="str">
        <x:v>official_preferred</x:v>
      </x:c>
      <x:c r="K19" s="94" t="str">
        <x:v>official_preferred</x:v>
      </x:c>
      <x:c r="L19" s="94" t="str"/>
      <x:c r="M19" s="103" t="n">
        <x:f>LN(B19)</x:f>
        <x:v>7.879669914604289</x:v>
      </x:c>
      <x:c r="N19" s="103" t="n">
        <x:f>LN(C19)</x:f>
        <x:v>5.3981627015177525</x:v>
      </x:c>
      <x:c r="O19" s="103" t="n">
        <x:f>(B19-AVERAGE($B$5:$B$20))/STDEV.P($B$5:$B$20)</x:f>
        <x:v>1.1084305334430153</x:v>
      </x:c>
      <x:c r="P19" s="103" t="n">
        <x:f>(C19-AVERAGE($C$5:$C$20))/STDEV.P($C$5:$C$20)</x:f>
        <x:v>1.8092942290946454</x:v>
      </x:c>
      <x:c r="Q19" s="103" t="n">
        <x:f>(B19-MIN($B$5:$B$20))/(MAX($B$5:$B$20)-MIN($B$5:$B$20))</x:f>
        <x:v>0.9195696721311475</x:v>
      </x:c>
      <x:c r="R19" s="103" t="n">
        <x:f>(C19-MIN($C$5:$C$20))/(MAX($C$5:$C$20)-MIN($C$5:$C$20))</x:f>
        <x:v>1</x:v>
      </x:c>
      <x:c r="S19" s="103" t="n">
        <x:f>LN(B19/B18)</x:f>
        <x:v>0.11198263741738128</x:v>
      </x:c>
      <x:c r="T19" s="103" t="n">
        <x:f>LN(C19/C18)</x:f>
        <x:v>0.14327489289705214</x:v>
      </x:c>
      <x:c r="U19" s="100" t="n">
        <x:f>'缺失补全'!F19</x:f>
        <x:v>2643</x:v>
      </x:c>
      <x:c r="V19" s="100" t="n">
        <x:f>'缺失补全'!G19</x:f>
        <x:v>2643</x:v>
      </x:c>
      <x:c r="W19" s="100" t="n">
        <x:f>'缺失补全'!L19</x:f>
        <x:v>221</x:v>
      </x:c>
      <x:c r="X19" s="100" t="n">
        <x:f>'缺失补全'!M19</x:f>
        <x:v>221</x:v>
      </x:c>
    </x:row>
    <x:row r="20" ht="34" customHeight="1">
      <x:c r="A20" s="95" t="n">
        <x:v>2025</x:v>
      </x:c>
      <x:c r="B20" s="101" t="n">
        <x:f>'缺失补全'!C20</x:f>
        <x:v>2691</x:v>
      </x:c>
      <x:c r="C20" s="101" t="n">
        <x:f>'缺失补全'!I20</x:f>
        <x:v>214.2509</x:v>
      </x:c>
      <x:c r="D20" s="101" t="n">
        <x:v>311.94</x:v>
      </x:c>
      <x:c r="E20" s="101" t="n">
        <x:v>195.17</x:v>
      </x:c>
      <x:c r="F20" s="101" t="n">
        <x:f>C20*10000/B20</x:f>
        <x:v>796.1757710888146</x:v>
      </x:c>
      <x:c r="G20" s="95" t="n">
        <x:v>0</x:v>
      </x:c>
      <x:c r="H20" s="95" t="n">
        <x:v>1</x:v>
      </x:c>
      <x:c r="I20" s="95" t="n">
        <x:v>1</x:v>
      </x:c>
      <x:c r="J20" s="95" t="str">
        <x:v>secondary_reported_sensitivity</x:v>
      </x:c>
      <x:c r="K20" s="95" t="str">
        <x:v>aggregate_constraint_scenario</x:v>
      </x:c>
      <x:c r="L20" s="95" t="str"/>
      <x:c r="M20" s="104" t="n">
        <x:f>LN(B20)</x:f>
        <x:v>7.897668150726906</x:v>
      </x:c>
      <x:c r="N20" s="104" t="n">
        <x:f>LN(C20)</x:f>
        <x:v>5.367147758169183</x:v>
      </x:c>
      <x:c r="O20" s="104" t="n">
        <x:f>(B20-AVERAGE($B$5:$B$20))/STDEV.P($B$5:$B$20)</x:f>
        <x:v>1.1814504206689203</x:v>
      </x:c>
      <x:c r="P20" s="104" t="n">
        <x:f>(C20-AVERAGE($C$5:$C$20))/STDEV.P($C$5:$C$20)</x:f>
        <x:v>1.693344575901977</x:v>
      </x:c>
      <x:c r="Q20" s="104" t="n">
        <x:f>(B20-MIN($B$5:$B$20))/(MAX($B$5:$B$20)-MIN($B$5:$B$20))</x:f>
        <x:v>0.9441598360655737</x:v>
      </x:c>
      <x:c r="R20" s="104" t="n">
        <x:f>(C20-MIN($C$5:$C$20))/(MAX($C$5:$C$20)-MIN($C$5:$C$20))</x:f>
        <x:v>0.9636125459624046</x:v>
      </x:c>
      <x:c r="S20" s="104" t="n">
        <x:f>LN(B20/B19)</x:f>
        <x:v>0.01799823612261661</x:v>
      </x:c>
      <x:c r="T20" s="104" t="n">
        <x:f>LN(C20/C19)</x:f>
        <x:v>-0.031014943348569923</x:v>
      </x:c>
      <x:c r="U20" s="101" t="n">
        <x:f>'缺失补全'!F20</x:f>
        <x:v>2600</x:v>
      </x:c>
      <x:c r="V20" s="101" t="n">
        <x:f>'缺失补全'!G20</x:f>
        <x:v>2800</x:v>
      </x:c>
      <x:c r="W20" s="101" t="n">
        <x:f>'缺失补全'!L20</x:f>
        <x:v>200</x:v>
      </x:c>
      <x:c r="X20" s="101" t="n">
        <x:f>'缺失补全'!M20</x:f>
        <x:v>231</x:v>
      </x:c>
    </x:row>
  </x:sheetData>
  <x:mergeCells>
    <x:mergeCell ref="A1:X1"/>
    <x:mergeCell ref="A2:X2"/>
  </x:mergeCells>
  <x:conditionalFormatting sqref="L5:L20">
    <x:cfRule type="expression" dxfId="2" priority="1">
      <x:formula>LEN($L5)&gt;0</x:formula>
    </x:cfRule>
  </x:conditionalFormatting>
  <x:conditionalFormatting sqref="J5:K20">
    <x:cfRule type="notContainsText" dxfId="3" priority="2" text="official_preferred"/>
  </x:conditionalFormatting>
  <x:pageMargins left="0.7" right="0.7" top="0.75" bottom="0.75" header="0.3" footer="0.3"/>
  <x:tableParts count="1">
    <x:tablePart xmlns:r="http://schemas.openxmlformats.org/officeDocument/2006/relationships" r:id="R506b49c0719145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11" hidden="0" customWidth="1"/>
    <x:col min="10" max="10" width="11" hidden="0" customWidth="1"/>
    <x:col min="11" max="11" width="11" hidden="0" customWidth="1"/>
    <x:col min="12" max="12" width="34" hidden="0" customWidth="1"/>
  </x:cols>
  <x:sheetData>
    <x:row r="1" ht="36" customHeight="1">
      <x:c r="A1" s="3" t="str">
        <x:v>IQR 与 Z-score 异常值检测（对数同比尺度）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42" customHeight="1">
      <x:c r="A2" s="78" t="str">
        <x:v>趋势型年度序列若直接对水平值做箱线图，会把正常增长误识为异常。因此先计算 ln(x_t/x_{t-1})，再用 IQR 与 Z-score 双重检测。最终异常值不删除，只标记并进入断点/状态建模。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</x:row>
    <x:row r="4">
      <x:c r="A4" s="90" t="str">
        <x:v>年份</x:v>
      </x:c>
      <x:c r="B4" s="91" t="str">
        <x:v>指标代码</x:v>
      </x:c>
      <x:c r="C4" s="91" t="str">
        <x:v>指标</x:v>
      </x:c>
      <x:c r="D4" s="91" t="str">
        <x:v>对数同比</x:v>
      </x:c>
      <x:c r="E4" s="91" t="str">
        <x:v>同比(%)</x:v>
      </x:c>
      <x:c r="F4" s="91" t="str">
        <x:v>Z-score</x:v>
      </x:c>
      <x:c r="G4" s="91" t="str">
        <x:v>IQR下界</x:v>
      </x:c>
      <x:c r="H4" s="91" t="str">
        <x:v>IQR上界</x:v>
      </x:c>
      <x:c r="I4" s="91" t="str">
        <x:v>IQR异常</x:v>
      </x:c>
      <x:c r="J4" s="91" t="str">
        <x:v>Z异常</x:v>
      </x:c>
      <x:c r="K4" s="91" t="str">
        <x:v>最终异常</x:v>
      </x:c>
      <x:c r="L4" s="92" t="str">
        <x:v>处理</x:v>
      </x:c>
    </x:row>
    <x:row r="5">
      <x:c r="A5" s="93" t="n">
        <x:v>2011</x:v>
      </x:c>
      <x:c r="B5" s="93" t="str">
        <x:v>visitor_model_10k_persons</x:v>
      </x:c>
      <x:c r="C5" s="93" t="str">
        <x:v>游客量</x:v>
      </x:c>
      <x:c r="D5" s="102" t="n">
        <x:v>0.2589112851166169</x:v>
      </x:c>
      <x:c r="E5" s="105" t="n">
        <x:v>29.55188679245282</x:v>
      </x:c>
      <x:c r="F5" s="102" t="n">
        <x:v>0.6330226419909033</x:v>
      </x:c>
      <x:c r="G5" s="102" t="n">
        <x:v>-0.13927526409396074</x:v>
      </x:c>
      <x:c r="H5" s="102" t="n">
        <x:v>0.3194069821165131</x:v>
      </x:c>
      <x:c r="I5" s="93" t="str">
        <x:v>否</x:v>
      </x:c>
      <x:c r="J5" s="93" t="str">
        <x:v>否</x:v>
      </x:c>
      <x:c r="K5" s="93" t="str">
        <x:v>否</x:v>
      </x:c>
      <x:c r="L5" s="93" t="str">
        <x:v>保留</x:v>
      </x:c>
    </x:row>
    <x:row r="6">
      <x:c r="A6" s="94" t="n">
        <x:v>2012</x:v>
      </x:c>
      <x:c r="B6" s="94" t="str">
        <x:v>visitor_model_10k_persons</x:v>
      </x:c>
      <x:c r="C6" s="94" t="str">
        <x:v>游客量</x:v>
      </x:c>
      <x:c r="D6" s="103" t="n">
        <x:v>0.04746292034731692</x:v>
      </x:c>
      <x:c r="E6" s="106" t="n">
        <x:v>4.860731840524345</x:v>
      </x:c>
      <x:c r="F6" s="103" t="n">
        <x:v>-0.10272709468106718</x:v>
      </x:c>
      <x:c r="G6" s="103" t="n">
        <x:v>-0.13927526409396074</x:v>
      </x:c>
      <x:c r="H6" s="103" t="n">
        <x:v>0.3194069821165131</x:v>
      </x:c>
      <x:c r="I6" s="94" t="str">
        <x:v>否</x:v>
      </x:c>
      <x:c r="J6" s="94" t="str">
        <x:v>否</x:v>
      </x:c>
      <x:c r="K6" s="94" t="str">
        <x:v>否</x:v>
      </x:c>
      <x:c r="L6" s="94" t="str">
        <x:v>保留</x:v>
      </x:c>
    </x:row>
    <x:row r="7">
      <x:c r="A7" s="94" t="n">
        <x:v>2013</x:v>
      </x:c>
      <x:c r="B7" s="94" t="str">
        <x:v>visitor_model_10k_persons</x:v>
      </x:c>
      <x:c r="C7" s="94" t="str">
        <x:v>游客量</x:v>
      </x:c>
      <x:c r="D7" s="103" t="n">
        <x:v>0.11701113287780096</x:v>
      </x:c>
      <x:c r="E7" s="106" t="n">
        <x:v>12.413194444444375</x:v>
      </x:c>
      <x:c r="F7" s="103" t="n">
        <x:v>0.13927089433690806</x:v>
      </x:c>
      <x:c r="G7" s="103" t="n">
        <x:v>-0.13927526409396074</x:v>
      </x:c>
      <x:c r="H7" s="103" t="n">
        <x:v>0.3194069821165131</x:v>
      </x:c>
      <x:c r="I7" s="94" t="str">
        <x:v>否</x:v>
      </x:c>
      <x:c r="J7" s="94" t="str">
        <x:v>否</x:v>
      </x:c>
      <x:c r="K7" s="94" t="str">
        <x:v>否</x:v>
      </x:c>
      <x:c r="L7" s="94" t="str">
        <x:v>保留</x:v>
      </x:c>
    </x:row>
    <x:row r="8">
      <x:c r="A8" s="94" t="n">
        <x:v>2014</x:v>
      </x:c>
      <x:c r="B8" s="94" t="str">
        <x:v>visitor_model_10k_persons</x:v>
      </x:c>
      <x:c r="C8" s="94" t="str">
        <x:v>游客量</x:v>
      </x:c>
      <x:c r="D8" s="103" t="n">
        <x:v>0.18193538185190938</x:v>
      </x:c>
      <x:c r="E8" s="106" t="n">
        <x:v>19.95366795366802</x:v>
      </x:c>
      <x:c r="F8" s="103" t="n">
        <x:v>0.36517947082764063</x:v>
      </x:c>
      <x:c r="G8" s="103" t="n">
        <x:v>-0.13927526409396074</x:v>
      </x:c>
      <x:c r="H8" s="103" t="n">
        <x:v>0.3194069821165131</x:v>
      </x:c>
      <x:c r="I8" s="94" t="str">
        <x:v>否</x:v>
      </x:c>
      <x:c r="J8" s="94" t="str">
        <x:v>否</x:v>
      </x:c>
      <x:c r="K8" s="94" t="str">
        <x:v>否</x:v>
      </x:c>
      <x:c r="L8" s="94" t="str">
        <x:v>保留</x:v>
      </x:c>
    </x:row>
    <x:row r="9">
      <x:c r="A9" s="94" t="n">
        <x:v>2015</x:v>
      </x:c>
      <x:c r="B9" s="94" t="str">
        <x:v>visitor_model_10k_persons</x:v>
      </x:c>
      <x:c r="C9" s="94" t="str">
        <x:v>游客量</x:v>
      </x:c>
      <x:c r="D9" s="103" t="n">
        <x:v>0.1576868799528528</x:v>
      </x:c>
      <x:c r="E9" s="106" t="n">
        <x:v>17.07995365005787</x:v>
      </x:c>
      <x:c r="F9" s="103" t="n">
        <x:v>0.2808050709291792</x:v>
      </x:c>
      <x:c r="G9" s="103" t="n">
        <x:v>-0.13927526409396074</x:v>
      </x:c>
      <x:c r="H9" s="103" t="n">
        <x:v>0.3194069821165131</x:v>
      </x:c>
      <x:c r="I9" s="94" t="str">
        <x:v>否</x:v>
      </x:c>
      <x:c r="J9" s="94" t="str">
        <x:v>否</x:v>
      </x:c>
      <x:c r="K9" s="94" t="str">
        <x:v>否</x:v>
      </x:c>
      <x:c r="L9" s="94" t="str">
        <x:v>保留</x:v>
      </x:c>
    </x:row>
    <x:row r="10">
      <x:c r="A10" s="94" t="n">
        <x:v>2016</x:v>
      </x:c>
      <x:c r="B10" s="94" t="str">
        <x:v>visitor_model_10k_persons</x:v>
      </x:c>
      <x:c r="C10" s="94" t="str">
        <x:v>游客量</x:v>
      </x:c>
      <x:c r="D10" s="103" t="n">
        <x:v>0.137115399622318</x:v>
      </x:c>
      <x:c r="E10" s="106" t="n">
        <x:v>14.696049969209184</x:v>
      </x:c>
      <x:c r="F10" s="103" t="n">
        <x:v>0.20922513105753682</x:v>
      </x:c>
      <x:c r="G10" s="103" t="n">
        <x:v>-0.13927526409396074</x:v>
      </x:c>
      <x:c r="H10" s="103" t="n">
        <x:v>0.3194069821165131</x:v>
      </x:c>
      <x:c r="I10" s="94" t="str">
        <x:v>否</x:v>
      </x:c>
      <x:c r="J10" s="94" t="str">
        <x:v>否</x:v>
      </x:c>
      <x:c r="K10" s="94" t="str">
        <x:v>否</x:v>
      </x:c>
      <x:c r="L10" s="94" t="str">
        <x:v>保留</x:v>
      </x:c>
    </x:row>
    <x:row r="11">
      <x:c r="A11" s="94" t="n">
        <x:v>2017</x:v>
      </x:c>
      <x:c r="B11" s="94" t="str">
        <x:v>visitor_model_10k_persons</x:v>
      </x:c>
      <x:c r="C11" s="94" t="str">
        <x:v>游客量</x:v>
      </x:c>
      <x:c r="D11" s="103" t="n">
        <x:v>0.13688147950980412</x:v>
      </x:c>
      <x:c r="E11" s="106" t="n">
        <x:v>14.669223394055555</x:v>
      </x:c>
      <x:c r="F11" s="103" t="n">
        <x:v>0.20841118926436125</x:v>
      </x:c>
      <x:c r="G11" s="103" t="n">
        <x:v>-0.13927526409396074</x:v>
      </x:c>
      <x:c r="H11" s="103" t="n">
        <x:v>0.3194069821165131</x:v>
      </x:c>
      <x:c r="I11" s="94" t="str">
        <x:v>否</x:v>
      </x:c>
      <x:c r="J11" s="94" t="str">
        <x:v>否</x:v>
      </x:c>
      <x:c r="K11" s="94" t="str">
        <x:v>否</x:v>
      </x:c>
      <x:c r="L11" s="94" t="str">
        <x:v>保留</x:v>
      </x:c>
    </x:row>
    <x:row r="12">
      <x:c r="A12" s="94" t="n">
        <x:v>2018</x:v>
      </x:c>
      <x:c r="B12" s="94" t="str">
        <x:v>visitor_model_10k_persons</x:v>
      </x:c>
      <x:c r="C12" s="94" t="str">
        <x:v>游客量</x:v>
      </x:c>
      <x:c r="D12" s="103" t="n">
        <x:v>0.10619628670522285</x:v>
      </x:c>
      <x:c r="E12" s="106" t="n">
        <x:v>11.204013377926472</x:v>
      </x:c>
      <x:c r="F12" s="103" t="n">
        <x:v>0.10163986213524649</x:v>
      </x:c>
      <x:c r="G12" s="103" t="n">
        <x:v>-0.13927526409396074</x:v>
      </x:c>
      <x:c r="H12" s="103" t="n">
        <x:v>0.3194069821165131</x:v>
      </x:c>
      <x:c r="I12" s="94" t="str">
        <x:v>否</x:v>
      </x:c>
      <x:c r="J12" s="94" t="str">
        <x:v>否</x:v>
      </x:c>
      <x:c r="K12" s="94" t="str">
        <x:v>否</x:v>
      </x:c>
      <x:c r="L12" s="94" t="str">
        <x:v>保留</x:v>
      </x:c>
    </x:row>
    <x:row r="13">
      <x:c r="A13" s="94" t="n">
        <x:v>2019</x:v>
      </x:c>
      <x:c r="B13" s="94" t="str">
        <x:v>visitor_model_10k_persons</x:v>
      </x:c>
      <x:c r="C13" s="94" t="str">
        <x:v>游客量</x:v>
      </x:c>
      <x:c r="D13" s="103" t="n">
        <x:v>0.05129329438755015</x:v>
      </x:c>
      <x:c r="E13" s="106" t="n">
        <x:v>5.263157894736802</x:v>
      </x:c>
      <x:c r="F13" s="103" t="n">
        <x:v>-0.08939903374036642</x:v>
      </x:c>
      <x:c r="G13" s="103" t="n">
        <x:v>-0.13927526409396074</x:v>
      </x:c>
      <x:c r="H13" s="103" t="n">
        <x:v>0.3194069821165131</x:v>
      </x:c>
      <x:c r="I13" s="94" t="str">
        <x:v>否</x:v>
      </x:c>
      <x:c r="J13" s="94" t="str">
        <x:v>否</x:v>
      </x:c>
      <x:c r="K13" s="94" t="str">
        <x:v>否</x:v>
      </x:c>
      <x:c r="L13" s="94" t="str">
        <x:v>保留</x:v>
      </x:c>
    </x:row>
    <x:row r="14">
      <x:c r="A14" s="94" t="n">
        <x:v>2020</x:v>
      </x:c>
      <x:c r="B14" s="94" t="str">
        <x:v>visitor_model_10k_persons</x:v>
      </x:c>
      <x:c r="C14" s="94" t="str">
        <x:v>游客量</x:v>
      </x:c>
      <x:c r="D14" s="103" t="n">
        <x:v>-0.1433098938285715</x:v>
      </x:c>
      <x:c r="E14" s="106" t="n">
        <x:v>-13.351449122663952</x:v>
      </x:c>
      <x:c r="F14" s="103" t="n">
        <x:v>-0.7665347715444997</x:v>
      </x:c>
      <x:c r="G14" s="103" t="n">
        <x:v>-0.13927526409396074</x:v>
      </x:c>
      <x:c r="H14" s="103" t="n">
        <x:v>0.3194069821165131</x:v>
      </x:c>
      <x:c r="I14" s="94" t="str">
        <x:v>是</x:v>
      </x:c>
      <x:c r="J14" s="94" t="str">
        <x:v>否</x:v>
      </x:c>
      <x:c r="K14" s="94" t="str">
        <x:v>是</x:v>
      </x:c>
      <x:c r="L14" s="94" t="str">
        <x:v>保留并设置结构/口径哑变量</x:v>
      </x:c>
    </x:row>
    <x:row r="15">
      <x:c r="A15" s="94" t="n">
        <x:v>2021</x:v>
      </x:c>
      <x:c r="B15" s="94" t="str">
        <x:v>visitor_model_10k_persons</x:v>
      </x:c>
      <x:c r="C15" s="94" t="str">
        <x:v>游客量</x:v>
      </x:c>
      <x:c r="D15" s="103" t="n">
        <x:v>-0.3099891439311291</x:v>
      </x:c>
      <x:c r="E15" s="106" t="n">
        <x:v>-26.65450813818207</x:v>
      </x:c>
      <x:c r="F15" s="103" t="n">
        <x:v>-1.3465071657762446</x:v>
      </x:c>
      <x:c r="G15" s="103" t="n">
        <x:v>-0.13927526409396074</x:v>
      </x:c>
      <x:c r="H15" s="103" t="n">
        <x:v>0.3194069821165131</x:v>
      </x:c>
      <x:c r="I15" s="94" t="str">
        <x:v>是</x:v>
      </x:c>
      <x:c r="J15" s="94" t="str">
        <x:v>否</x:v>
      </x:c>
      <x:c r="K15" s="94" t="str">
        <x:v>是</x:v>
      </x:c>
      <x:c r="L15" s="94" t="str">
        <x:v>保留并设置结构/口径哑变量</x:v>
      </x:c>
    </x:row>
    <x:row r="16">
      <x:c r="A16" s="94" t="n">
        <x:v>2022</x:v>
      </x:c>
      <x:c r="B16" s="94" t="str">
        <x:v>visitor_model_10k_persons</x:v>
      </x:c>
      <x:c r="C16" s="94" t="str">
        <x:v>游客量</x:v>
      </x:c>
      <x:c r="D16" s="103" t="n">
        <x:v>-0.5530713090167971</x:v>
      </x:c>
      <x:c r="E16" s="106" t="n">
        <x:v>-42.48194623918782</x:v>
      </x:c>
      <x:c r="F16" s="103" t="n">
        <x:v>-2.1923289773876222</x:v>
      </x:c>
      <x:c r="G16" s="103" t="n">
        <x:v>-0.13927526409396074</x:v>
      </x:c>
      <x:c r="H16" s="103" t="n">
        <x:v>0.3194069821165131</x:v>
      </x:c>
      <x:c r="I16" s="94" t="str">
        <x:v>是</x:v>
      </x:c>
      <x:c r="J16" s="94" t="str">
        <x:v>否</x:v>
      </x:c>
      <x:c r="K16" s="94" t="str">
        <x:v>是</x:v>
      </x:c>
      <x:c r="L16" s="94" t="str">
        <x:v>保留并设置结构/口径哑变量</x:v>
      </x:c>
    </x:row>
    <x:row r="17">
      <x:c r="A17" s="94" t="n">
        <x:v>2023</x:v>
      </x:c>
      <x:c r="B17" s="94" t="str">
        <x:v>visitor_model_10k_persons</x:v>
      </x:c>
      <x:c r="C17" s="94" t="str">
        <x:v>游客量</x:v>
      </x:c>
      <x:c r="D17" s="103" t="n">
        <x:v>0.8366829278001102</x:v>
      </x:c>
      <x:c r="E17" s="106" t="n">
        <x:v>130.86961496548614</x:v>
      </x:c>
      <x:c r="F17" s="103" t="n">
        <x:v>2.6434204732756754</x:v>
      </x:c>
      <x:c r="G17" s="103" t="n">
        <x:v>-0.13927526409396074</x:v>
      </x:c>
      <x:c r="H17" s="103" t="n">
        <x:v>0.3194069821165131</x:v>
      </x:c>
      <x:c r="I17" s="94" t="str">
        <x:v>是</x:v>
      </x:c>
      <x:c r="J17" s="94" t="str">
        <x:v>否</x:v>
      </x:c>
      <x:c r="K17" s="94" t="str">
        <x:v>是</x:v>
      </x:c>
      <x:c r="L17" s="94" t="str">
        <x:v>保留并设置结构/口径哑变量</x:v>
      </x:c>
    </x:row>
    <x:row r="18">
      <x:c r="A18" s="94" t="n">
        <x:v>2024</x:v>
      </x:c>
      <x:c r="B18" s="94" t="str">
        <x:v>visitor_model_10k_persons</x:v>
      </x:c>
      <x:c r="C18" s="94" t="str">
        <x:v>游客量</x:v>
      </x:c>
      <x:c r="D18" s="103" t="n">
        <x:v>0.11198263741738135</x:v>
      </x:c>
      <x:c r="E18" s="106" t="n">
        <x:v>11.849344054168428</x:v>
      </x:c>
      <x:c r="F18" s="103" t="n">
        <x:v>0.12177388406257235</x:v>
      </x:c>
      <x:c r="G18" s="103" t="n">
        <x:v>-0.13927526409396074</x:v>
      </x:c>
      <x:c r="H18" s="103" t="n">
        <x:v>0.3194069821165131</x:v>
      </x:c>
      <x:c r="I18" s="94" t="str">
        <x:v>否</x:v>
      </x:c>
      <x:c r="J18" s="94" t="str">
        <x:v>否</x:v>
      </x:c>
      <x:c r="K18" s="94" t="str">
        <x:v>否</x:v>
      </x:c>
      <x:c r="L18" s="94" t="str">
        <x:v>保留</x:v>
      </x:c>
    </x:row>
    <x:row r="19">
      <x:c r="A19" s="94" t="n">
        <x:v>2025</x:v>
      </x:c>
      <x:c r="B19" s="94" t="str">
        <x:v>visitor_model_10k_persons</x:v>
      </x:c>
      <x:c r="C19" s="94" t="str">
        <x:v>游客量</x:v>
      </x:c>
      <x:c r="D19" s="103" t="n">
        <x:v>0.017998236122616973</x:v>
      </x:c>
      <x:c r="E19" s="106" t="n">
        <x:v>1.8161180476731358</x:v>
      </x:c>
      <x:c r="F19" s="103" t="n">
        <x:v>-0.2052515747502233</x:v>
      </x:c>
      <x:c r="G19" s="103" t="n">
        <x:v>-0.13927526409396074</x:v>
      </x:c>
      <x:c r="H19" s="103" t="n">
        <x:v>0.3194069821165131</x:v>
      </x:c>
      <x:c r="I19" s="94" t="str">
        <x:v>否</x:v>
      </x:c>
      <x:c r="J19" s="94" t="str">
        <x:v>否</x:v>
      </x:c>
      <x:c r="K19" s="94" t="str">
        <x:v>否</x:v>
      </x:c>
      <x:c r="L19" s="94" t="str">
        <x:v>保留</x:v>
      </x:c>
    </x:row>
    <x:row r="20">
      <x:c r="A20" s="94" t="n">
        <x:v>2011</x:v>
      </x:c>
      <x:c r="B20" s="94" t="str">
        <x:v>income_model_100m_cny</x:v>
      </x:c>
      <x:c r="C20" s="94" t="str">
        <x:v>旅游综合收入</x:v>
      </x:c>
      <x:c r="D20" s="103" t="n">
        <x:v>0.2585106816732403</x:v>
      </x:c>
      <x:c r="E20" s="106" t="n">
        <x:v>29.499998254565245</x:v>
      </x:c>
      <x:c r="F20" s="103" t="n">
        <x:v>0.3652354791616959</x:v>
      </x:c>
      <x:c r="G20" s="103" t="n">
        <x:v>-0.20830807121976103</x:v>
      </x:c>
      <x:c r="H20" s="103" t="n">
        <x:v>0.42355033709574685</x:v>
      </x:c>
      <x:c r="I20" s="94" t="str">
        <x:v>否</x:v>
      </x:c>
      <x:c r="J20" s="94" t="str">
        <x:v>否</x:v>
      </x:c>
      <x:c r="K20" s="94" t="str">
        <x:v>否</x:v>
      </x:c>
      <x:c r="L20" s="94" t="str">
        <x:v>保留</x:v>
      </x:c>
    </x:row>
    <x:row r="21">
      <x:c r="A21" s="94" t="n">
        <x:v>2012</x:v>
      </x:c>
      <x:c r="B21" s="94" t="str">
        <x:v>income_model_100m_cny</x:v>
      </x:c>
      <x:c r="C21" s="94" t="str">
        <x:v>旅游综合收入</x:v>
      </x:c>
      <x:c r="D21" s="103" t="n">
        <x:v>0.12260232209233246</x:v>
      </x:c>
      <x:c r="E21" s="106" t="n">
        <x:v>13.043478260869575</x:v>
      </x:c>
      <x:c r="F21" s="103" t="n">
        <x:v>0.00737578989021307</x:v>
      </x:c>
      <x:c r="G21" s="103" t="n">
        <x:v>-0.20830807121976103</x:v>
      </x:c>
      <x:c r="H21" s="103" t="n">
        <x:v>0.42355033709574685</x:v>
      </x:c>
      <x:c r="I21" s="94" t="str">
        <x:v>否</x:v>
      </x:c>
      <x:c r="J21" s="94" t="str">
        <x:v>否</x:v>
      </x:c>
      <x:c r="K21" s="94" t="str">
        <x:v>否</x:v>
      </x:c>
      <x:c r="L21" s="94" t="str">
        <x:v>保留</x:v>
      </x:c>
    </x:row>
    <x:row r="22">
      <x:c r="A22" s="94" t="n">
        <x:v>2013</x:v>
      </x:c>
      <x:c r="B22" s="94" t="str">
        <x:v>income_model_100m_cny</x:v>
      </x:c>
      <x:c r="C22" s="94" t="str">
        <x:v>旅游综合收入</x:v>
      </x:c>
      <x:c r="D22" s="103" t="n">
        <x:v>0.19506058257138426</x:v>
      </x:c>
      <x:c r="E22" s="106" t="n">
        <x:v>21.53846153846152</x:v>
      </x:c>
      <x:c r="F22" s="103" t="n">
        <x:v>0.19816530909377078</x:v>
      </x:c>
      <x:c r="G22" s="103" t="n">
        <x:v>-0.20830807121976103</x:v>
      </x:c>
      <x:c r="H22" s="103" t="n">
        <x:v>0.42355033709574685</x:v>
      </x:c>
      <x:c r="I22" s="94" t="str">
        <x:v>否</x:v>
      </x:c>
      <x:c r="J22" s="94" t="str">
        <x:v>否</x:v>
      </x:c>
      <x:c r="K22" s="94" t="str">
        <x:v>否</x:v>
      </x:c>
      <x:c r="L22" s="94" t="str">
        <x:v>保留</x:v>
      </x:c>
    </x:row>
    <x:row r="23">
      <x:c r="A23" s="94" t="n">
        <x:v>2014</x:v>
      </x:c>
      <x:c r="B23" s="94" t="str">
        <x:v>income_model_100m_cny</x:v>
      </x:c>
      <x:c r="C23" s="94" t="str">
        <x:v>旅游综合收入</x:v>
      </x:c>
      <x:c r="D23" s="103" t="n">
        <x:v>0.2231435513142097</x:v>
      </x:c>
      <x:c r="E23" s="106" t="n">
        <x:v>24.999999999999993</x:v>
      </x:c>
      <x:c r="F23" s="103" t="n">
        <x:v>0.27211044756147146</x:v>
      </x:c>
      <x:c r="G23" s="103" t="n">
        <x:v>-0.20830807121976103</x:v>
      </x:c>
      <x:c r="H23" s="103" t="n">
        <x:v>0.42355033709574685</x:v>
      </x:c>
      <x:c r="I23" s="94" t="str">
        <x:v>否</x:v>
      </x:c>
      <x:c r="J23" s="94" t="str">
        <x:v>否</x:v>
      </x:c>
      <x:c r="K23" s="94" t="str">
        <x:v>否</x:v>
      </x:c>
      <x:c r="L23" s="94" t="str">
        <x:v>保留</x:v>
      </x:c>
    </x:row>
    <x:row r="24">
      <x:c r="A24" s="94" t="n">
        <x:v>2015</x:v>
      </x:c>
      <x:c r="B24" s="94" t="str">
        <x:v>income_model_100m_cny</x:v>
      </x:c>
      <x:c r="C24" s="94" t="str">
        <x:v>旅游综合收入</x:v>
      </x:c>
      <x:c r="D24" s="103" t="n">
        <x:v>0.17384692980298233</x:v>
      </x:c>
      <x:c r="E24" s="106" t="n">
        <x:v>18.98734177215189</x:v>
      </x:c>
      <x:c r="F24" s="103" t="n">
        <x:v>0.1423077355683238</x:v>
      </x:c>
      <x:c r="G24" s="103" t="n">
        <x:v>-0.20830807121976103</x:v>
      </x:c>
      <x:c r="H24" s="103" t="n">
        <x:v>0.42355033709574685</x:v>
      </x:c>
      <x:c r="I24" s="94" t="str">
        <x:v>否</x:v>
      </x:c>
      <x:c r="J24" s="94" t="str">
        <x:v>否</x:v>
      </x:c>
      <x:c r="K24" s="94" t="str">
        <x:v>否</x:v>
      </x:c>
      <x:c r="L24" s="94" t="str">
        <x:v>保留</x:v>
      </x:c>
    </x:row>
    <x:row r="25">
      <x:c r="A25" s="94" t="n">
        <x:v>2016</x:v>
      </x:c>
      <x:c r="B25" s="94" t="str">
        <x:v>income_model_100m_cny</x:v>
      </x:c>
      <x:c r="C25" s="94" t="str">
        <x:v>旅游综合收入</x:v>
      </x:c>
      <x:c r="D25" s="103" t="n">
        <x:v>0.14609338280209982</x:v>
      </x:c>
      <x:c r="E25" s="106" t="n">
        <x:v>15.730425531914927</x:v>
      </x:c>
      <x:c r="F25" s="103" t="n">
        <x:v>0.06922999600510918</x:v>
      </x:c>
      <x:c r="G25" s="103" t="n">
        <x:v>-0.20830807121976103</x:v>
      </x:c>
      <x:c r="H25" s="103" t="n">
        <x:v>0.42355033709574685</x:v>
      </x:c>
      <x:c r="I25" s="94" t="str">
        <x:v>否</x:v>
      </x:c>
      <x:c r="J25" s="94" t="str">
        <x:v>否</x:v>
      </x:c>
      <x:c r="K25" s="94" t="str">
        <x:v>否</x:v>
      </x:c>
      <x:c r="L25" s="94" t="str">
        <x:v>保留</x:v>
      </x:c>
    </x:row>
    <x:row r="26">
      <x:c r="A26" s="94" t="n">
        <x:v>2017</x:v>
      </x:c>
      <x:c r="B26" s="94" t="str">
        <x:v>income_model_100m_cny</x:v>
      </x:c>
      <x:c r="C26" s="94" t="str">
        <x:v>旅游综合收入</x:v>
      </x:c>
      <x:c r="D26" s="103" t="n">
        <x:v>0.17814628538347854</x:v>
      </x:c>
      <x:c r="E26" s="106" t="n">
        <x:v>19.50001195000114</x:v>
      </x:c>
      <x:c r="F26" s="103" t="n">
        <x:v>0.15362834937639544</x:v>
      </x:c>
      <x:c r="G26" s="103" t="n">
        <x:v>-0.20830807121976103</x:v>
      </x:c>
      <x:c r="H26" s="103" t="n">
        <x:v>0.42355033709574685</x:v>
      </x:c>
      <x:c r="I26" s="94" t="str">
        <x:v>否</x:v>
      </x:c>
      <x:c r="J26" s="94" t="str">
        <x:v>否</x:v>
      </x:c>
      <x:c r="K26" s="94" t="str">
        <x:v>否</x:v>
      </x:c>
      <x:c r="L26" s="94" t="str">
        <x:v>保留</x:v>
      </x:c>
    </x:row>
    <x:row r="27">
      <x:c r="A27" s="94" t="n">
        <x:v>2018</x:v>
      </x:c>
      <x:c r="B27" s="94" t="str">
        <x:v>income_model_100m_cny</x:v>
      </x:c>
      <x:c r="C27" s="94" t="str">
        <x:v>旅游综合收入</x:v>
      </x:c>
      <x:c r="D27" s="103" t="n">
        <x:v>0.08829260714567866</x:v>
      </x:c>
      <x:c r="E27" s="106" t="n">
        <x:v>9.23076923076927</x:v>
      </x:c>
      <x:c r="F27" s="103" t="n">
        <x:v>-0.08296496595191308</x:v>
      </x:c>
      <x:c r="G27" s="103" t="n">
        <x:v>-0.20830807121976103</x:v>
      </x:c>
      <x:c r="H27" s="103" t="n">
        <x:v>0.42355033709574685</x:v>
      </x:c>
      <x:c r="I27" s="94" t="str">
        <x:v>否</x:v>
      </x:c>
      <x:c r="J27" s="94" t="str">
        <x:v>否</x:v>
      </x:c>
      <x:c r="K27" s="94" t="str">
        <x:v>否</x:v>
      </x:c>
      <x:c r="L27" s="94" t="str">
        <x:v>保留</x:v>
      </x:c>
    </x:row>
    <x:row r="28">
      <x:c r="A28" s="94" t="n">
        <x:v>2019</x:v>
      </x:c>
      <x:c r="B28" s="94" t="str">
        <x:v>income_model_100m_cny</x:v>
      </x:c>
      <x:c r="C28" s="94" t="str">
        <x:v>旅游综合收入</x:v>
      </x:c>
      <x:c r="D28" s="103" t="n">
        <x:v>0.15011841629931943</x:v>
      </x:c>
      <x:c r="E28" s="106" t="n">
        <x:v>16.1971830985915</x:v>
      </x:c>
      <x:c r="F28" s="103" t="n">
        <x:v>0.07982829357167523</x:v>
      </x:c>
      <x:c r="G28" s="103" t="n">
        <x:v>-0.20830807121976103</x:v>
      </x:c>
      <x:c r="H28" s="103" t="n">
        <x:v>0.42355033709574685</x:v>
      </x:c>
      <x:c r="I28" s="94" t="str">
        <x:v>否</x:v>
      </x:c>
      <x:c r="J28" s="94" t="str">
        <x:v>否</x:v>
      </x:c>
      <x:c r="K28" s="94" t="str">
        <x:v>否</x:v>
      </x:c>
      <x:c r="L28" s="94" t="str">
        <x:v>保留</x:v>
      </x:c>
    </x:row>
    <x:row r="29">
      <x:c r="A29" s="94" t="n">
        <x:v>2020</x:v>
      </x:c>
      <x:c r="B29" s="94" t="str">
        <x:v>income_model_100m_cny</x:v>
      </x:c>
      <x:c r="C29" s="94" t="str">
        <x:v>旅游综合收入</x:v>
      </x:c>
      <x:c r="D29" s="103" t="n">
        <x:v>-0.14330989382857062</x:v>
      </x:c>
      <x:c r="E29" s="106" t="n">
        <x:v>-13.351449122663874</x:v>
      </x:c>
      <x:c r="F29" s="103" t="n">
        <x:v>-0.692796467772101</x:v>
      </x:c>
      <x:c r="G29" s="103" t="n">
        <x:v>-0.20830807121976103</x:v>
      </x:c>
      <x:c r="H29" s="103" t="n">
        <x:v>0.42355033709574685</x:v>
      </x:c>
      <x:c r="I29" s="94" t="str">
        <x:v>否</x:v>
      </x:c>
      <x:c r="J29" s="94" t="str">
        <x:v>否</x:v>
      </x:c>
      <x:c r="K29" s="94" t="str">
        <x:v>否</x:v>
      </x:c>
      <x:c r="L29" s="94" t="str">
        <x:v>保留</x:v>
      </x:c>
    </x:row>
    <x:row r="30">
      <x:c r="A30" s="94" t="n">
        <x:v>2021</x:v>
      </x:c>
      <x:c r="B30" s="94" t="str">
        <x:v>income_model_100m_cny</x:v>
      </x:c>
      <x:c r="C30" s="94" t="str">
        <x:v>旅游综合收入</x:v>
      </x:c>
      <x:c r="D30" s="103" t="n">
        <x:v>-0.2621552142795931</x:v>
      </x:c>
      <x:c r="E30" s="106" t="n">
        <x:v>-23.060840612276056</x:v>
      </x:c>
      <x:c r="F30" s="103" t="n">
        <x:v>-1.0057275455889452</x:v>
      </x:c>
      <x:c r="G30" s="103" t="n">
        <x:v>-0.20830807121976103</x:v>
      </x:c>
      <x:c r="H30" s="103" t="n">
        <x:v>0.42355033709574685</x:v>
      </x:c>
      <x:c r="I30" s="94" t="str">
        <x:v>是</x:v>
      </x:c>
      <x:c r="J30" s="94" t="str">
        <x:v>否</x:v>
      </x:c>
      <x:c r="K30" s="94" t="str">
        <x:v>是</x:v>
      </x:c>
      <x:c r="L30" s="94" t="str">
        <x:v>保留并设置结构/口径哑变量</x:v>
      </x:c>
    </x:row>
    <x:row r="31">
      <x:c r="A31" s="94" t="n">
        <x:v>2022</x:v>
      </x:c>
      <x:c r="B31" s="94" t="str">
        <x:v>income_model_100m_cny</x:v>
      </x:c>
      <x:c r="C31" s="94" t="str">
        <x:v>旅游综合收入</x:v>
      </x:c>
      <x:c r="D31" s="103" t="n">
        <x:v>-0.679619099080254</x:v>
      </x:c>
      <x:c r="E31" s="106" t="n">
        <x:v>-49.31900000000002</x:v>
      </x:c>
      <x:c r="F31" s="103" t="n">
        <x:v>-2.1049498197559355</x:v>
      </x:c>
      <x:c r="G31" s="103" t="n">
        <x:v>-0.20830807121976103</x:v>
      </x:c>
      <x:c r="H31" s="103" t="n">
        <x:v>0.42355033709574685</x:v>
      </x:c>
      <x:c r="I31" s="94" t="str">
        <x:v>是</x:v>
      </x:c>
      <x:c r="J31" s="94" t="str">
        <x:v>否</x:v>
      </x:c>
      <x:c r="K31" s="94" t="str">
        <x:v>是</x:v>
      </x:c>
      <x:c r="L31" s="94" t="str">
        <x:v>保留并设置结构/口径哑变量</x:v>
      </x:c>
    </x:row>
    <x:row r="32">
      <x:c r="A32" s="94" t="n">
        <x:v>2023</x:v>
      </x:c>
      <x:c r="B32" s="94" t="str">
        <x:v>income_model_100m_cny</x:v>
      </x:c>
      <x:c r="C32" s="94" t="str">
        <x:v>旅游综合收入</x:v>
      </x:c>
      <x:c r="D32" s="103" t="n">
        <x:v>1.2340265419085377</x:v>
      </x:c>
      <x:c r="E32" s="106" t="n">
        <x:v>243.50330319233842</x:v>
      </x:c>
      <x:c r="F32" s="103" t="n">
        <x:v>2.9338618955182616</x:v>
      </x:c>
      <x:c r="G32" s="103" t="n">
        <x:v>-0.20830807121976103</x:v>
      </x:c>
      <x:c r="H32" s="103" t="n">
        <x:v>0.42355033709574685</x:v>
      </x:c>
      <x:c r="I32" s="94" t="str">
        <x:v>是</x:v>
      </x:c>
      <x:c r="J32" s="94" t="str">
        <x:v>否</x:v>
      </x:c>
      <x:c r="K32" s="94" t="str">
        <x:v>是</x:v>
      </x:c>
      <x:c r="L32" s="94" t="str">
        <x:v>保留并设置结构/口径哑变量</x:v>
      </x:c>
    </x:row>
    <x:row r="33">
      <x:c r="A33" s="94" t="n">
        <x:v>2024</x:v>
      </x:c>
      <x:c r="B33" s="94" t="str">
        <x:v>income_model_100m_cny</x:v>
      </x:c>
      <x:c r="C33" s="94" t="str">
        <x:v>旅游综合收入</x:v>
      </x:c>
      <x:c r="D33" s="103" t="n">
        <x:v>0.1432748928970522</x:v>
      </x:c>
      <x:c r="E33" s="106" t="n">
        <x:v>15.404699738903401</x:v>
      </x:c>
      <x:c r="F33" s="103" t="n">
        <x:v>0.06180864293495671</x:v>
      </x:c>
      <x:c r="G33" s="103" t="n">
        <x:v>-0.20830807121976103</x:v>
      </x:c>
      <x:c r="H33" s="103" t="n">
        <x:v>0.42355033709574685</x:v>
      </x:c>
      <x:c r="I33" s="94" t="str">
        <x:v>否</x:v>
      </x:c>
      <x:c r="J33" s="94" t="str">
        <x:v>否</x:v>
      </x:c>
      <x:c r="K33" s="94" t="str">
        <x:v>否</x:v>
      </x:c>
      <x:c r="L33" s="94" t="str">
        <x:v>保留</x:v>
      </x:c>
    </x:row>
    <x:row r="34">
      <x:c r="A34" s="94" t="n">
        <x:v>2025</x:v>
      </x:c>
      <x:c r="B34" s="94" t="str">
        <x:v>income_model_100m_cny</x:v>
      </x:c>
      <x:c r="C34" s="94" t="str">
        <x:v>旅游综合收入</x:v>
      </x:c>
      <x:c r="D34" s="103" t="n">
        <x:v>-0.0310149433485698</x:v>
      </x:c>
      <x:c r="E34" s="106" t="n">
        <x:v>-3.0538914027149247</x:v>
      </x:c>
      <x:c r="F34" s="103" t="n">
        <x:v>-0.3971131396129781</x:v>
      </x:c>
      <x:c r="G34" s="103" t="n">
        <x:v>-0.20830807121976103</x:v>
      </x:c>
      <x:c r="H34" s="103" t="n">
        <x:v>0.42355033709574685</x:v>
      </x:c>
      <x:c r="I34" s="94" t="str">
        <x:v>否</x:v>
      </x:c>
      <x:c r="J34" s="94" t="str">
        <x:v>否</x:v>
      </x:c>
      <x:c r="K34" s="94" t="str">
        <x:v>否</x:v>
      </x:c>
      <x:c r="L34" s="94" t="str">
        <x:v>保留</x:v>
      </x:c>
    </x:row>
    <x:row r="35">
      <x:c r="A35" s="94" t="n">
        <x:v>2011</x:v>
      </x:c>
      <x:c r="B35" s="94" t="str">
        <x:v>preferred_gdp_100m_cny</x:v>
      </x:c>
      <x:c r="C35" s="94" t="str">
        <x:v>GDP</x:v>
      </x:c>
      <x:c r="D35" s="103" t="n">
        <x:v>0.14907913237448955</x:v>
      </x:c>
      <x:c r="E35" s="106" t="n">
        <x:v>16.07648396528515</x:v>
      </x:c>
      <x:c r="F35" s="103" t="n">
        <x:v>0.7497727016243126</x:v>
      </x:c>
      <x:c r="G35" s="103" t="n">
        <x:v>-0.09415893287485089</x:v>
      </x:c>
      <x:c r="H35" s="103" t="n">
        <x:v>0.22380214549792798</x:v>
      </x:c>
      <x:c r="I35" s="94" t="str">
        <x:v>否</x:v>
      </x:c>
      <x:c r="J35" s="94" t="str">
        <x:v>否</x:v>
      </x:c>
      <x:c r="K35" s="94" t="str">
        <x:v>否</x:v>
      </x:c>
      <x:c r="L35" s="94" t="str">
        <x:v>保留</x:v>
      </x:c>
    </x:row>
    <x:row r="36">
      <x:c r="A36" s="94" t="n">
        <x:v>2012</x:v>
      </x:c>
      <x:c r="B36" s="94" t="str">
        <x:v>preferred_gdp_100m_cny</x:v>
      </x:c>
      <x:c r="C36" s="94" t="str">
        <x:v>GDP</x:v>
      </x:c>
      <x:c r="D36" s="103" t="n">
        <x:v>0.15320779298096188</x:v>
      </x:c>
      <x:c r="E36" s="106" t="n">
        <x:v>16.556715045380045</x:v>
      </x:c>
      <x:c r="F36" s="103" t="n">
        <x:v>0.7746539628383348</x:v>
      </x:c>
      <x:c r="G36" s="103" t="n">
        <x:v>-0.09415893287485089</x:v>
      </x:c>
      <x:c r="H36" s="103" t="n">
        <x:v>0.22380214549792798</x:v>
      </x:c>
      <x:c r="I36" s="94" t="str">
        <x:v>否</x:v>
      </x:c>
      <x:c r="J36" s="94" t="str">
        <x:v>否</x:v>
      </x:c>
      <x:c r="K36" s="94" t="str">
        <x:v>否</x:v>
      </x:c>
      <x:c r="L36" s="94" t="str">
        <x:v>保留</x:v>
      </x:c>
    </x:row>
    <x:row r="37">
      <x:c r="A37" s="94" t="n">
        <x:v>2013</x:v>
      </x:c>
      <x:c r="B37" s="94" t="str">
        <x:v>preferred_gdp_100m_cny</x:v>
      </x:c>
      <x:c r="C37" s="94" t="str">
        <x:v>GDP</x:v>
      </x:c>
      <x:c r="D37" s="103" t="n">
        <x:v>0.08328830052448577</x:v>
      </x:c>
      <x:c r="E37" s="106" t="n">
        <x:v>8.685510428101024</x:v>
      </x:c>
      <x:c r="F37" s="103" t="n">
        <x:v>0.35328603711583734</x:v>
      </x:c>
      <x:c r="G37" s="103" t="n">
        <x:v>-0.09415893287485089</x:v>
      </x:c>
      <x:c r="H37" s="103" t="n">
        <x:v>0.22380214549792798</x:v>
      </x:c>
      <x:c r="I37" s="94" t="str">
        <x:v>否</x:v>
      </x:c>
      <x:c r="J37" s="94" t="str">
        <x:v>否</x:v>
      </x:c>
      <x:c r="K37" s="94" t="str">
        <x:v>否</x:v>
      </x:c>
      <x:c r="L37" s="94" t="str">
        <x:v>保留</x:v>
      </x:c>
    </x:row>
    <x:row r="38">
      <x:c r="A38" s="94" t="n">
        <x:v>2014</x:v>
      </x:c>
      <x:c r="B38" s="94" t="str">
        <x:v>preferred_gdp_100m_cny</x:v>
      </x:c>
      <x:c r="C38" s="94" t="str">
        <x:v>GDP</x:v>
      </x:c>
      <x:c r="D38" s="103" t="n">
        <x:v>0.10213286573464586</x:v>
      </x:c>
      <x:c r="E38" s="106" t="n">
        <x:v>10.753061482136031</x:v>
      </x:c>
      <x:c r="F38" s="103" t="n">
        <x:v>0.46685229846549375</x:v>
      </x:c>
      <x:c r="G38" s="103" t="n">
        <x:v>-0.09415893287485089</x:v>
      </x:c>
      <x:c r="H38" s="103" t="n">
        <x:v>0.22380214549792798</x:v>
      </x:c>
      <x:c r="I38" s="94" t="str">
        <x:v>否</x:v>
      </x:c>
      <x:c r="J38" s="94" t="str">
        <x:v>否</x:v>
      </x:c>
      <x:c r="K38" s="94" t="str">
        <x:v>否</x:v>
      </x:c>
      <x:c r="L38" s="94" t="str">
        <x:v>保留</x:v>
      </x:c>
    </x:row>
    <x:row r="39">
      <x:c r="A39" s="94" t="n">
        <x:v>2015</x:v>
      </x:c>
      <x:c r="B39" s="94" t="str">
        <x:v>preferred_gdp_100m_cny</x:v>
      </x:c>
      <x:c r="C39" s="94" t="str">
        <x:v>GDP</x:v>
      </x:c>
      <x:c r="D39" s="103" t="n">
        <x:v>0.10700061648162595</x:v>
      </x:c>
      <x:c r="E39" s="106" t="n">
        <x:v>11.293494058305589</x:v>
      </x:c>
      <x:c r="F39" s="103" t="n">
        <x:v>0.4961876663740341</x:v>
      </x:c>
      <x:c r="G39" s="103" t="n">
        <x:v>-0.09415893287485089</x:v>
      </x:c>
      <x:c r="H39" s="103" t="n">
        <x:v>0.22380214549792798</x:v>
      </x:c>
      <x:c r="I39" s="94" t="str">
        <x:v>否</x:v>
      </x:c>
      <x:c r="J39" s="94" t="str">
        <x:v>否</x:v>
      </x:c>
      <x:c r="K39" s="94" t="str">
        <x:v>否</x:v>
      </x:c>
      <x:c r="L39" s="94" t="str">
        <x:v>保留</x:v>
      </x:c>
    </x:row>
    <x:row r="40">
      <x:c r="A40" s="94" t="n">
        <x:v>2016</x:v>
      </x:c>
      <x:c r="B40" s="94" t="str">
        <x:v>preferred_gdp_100m_cny</x:v>
      </x:c>
      <x:c r="C40" s="94" t="str">
        <x:v>GDP</x:v>
      </x:c>
      <x:c r="D40" s="103" t="n">
        <x:v>-0.010295041255028892</x:v>
      </x:c>
      <x:c r="E40" s="106" t="n">
        <x:v>-1.0242228708966694</x:v>
      </x:c>
      <x:c r="F40" s="103" t="n">
        <x:v>-0.21069143500840776</x:v>
      </x:c>
      <x:c r="G40" s="103" t="n">
        <x:v>-0.09415893287485089</x:v>
      </x:c>
      <x:c r="H40" s="103" t="n">
        <x:v>0.22380214549792798</x:v>
      </x:c>
      <x:c r="I40" s="94" t="str">
        <x:v>否</x:v>
      </x:c>
      <x:c r="J40" s="94" t="str">
        <x:v>否</x:v>
      </x:c>
      <x:c r="K40" s="94" t="str">
        <x:v>否</x:v>
      </x:c>
      <x:c r="L40" s="94" t="str">
        <x:v>保留</x:v>
      </x:c>
    </x:row>
    <x:row r="41">
      <x:c r="A41" s="94" t="n">
        <x:v>2017</x:v>
      </x:c>
      <x:c r="B41" s="94" t="str">
        <x:v>preferred_gdp_100m_cny</x:v>
      </x:c>
      <x:c r="C41" s="94" t="str">
        <x:v>GDP</x:v>
      </x:c>
      <x:c r="D41" s="103" t="n">
        <x:v>-0.056187978573802866</x:v>
      </x:c>
      <x:c r="E41" s="106" t="n">
        <x:v>-5.463858850313085</x:v>
      </x:c>
      <x:c r="F41" s="103" t="n">
        <x:v>-0.48726397757029627</x:v>
      </x:c>
      <x:c r="G41" s="103" t="n">
        <x:v>-0.09415893287485089</x:v>
      </x:c>
      <x:c r="H41" s="103" t="n">
        <x:v>0.22380214549792798</x:v>
      </x:c>
      <x:c r="I41" s="94" t="str">
        <x:v>否</x:v>
      </x:c>
      <x:c r="J41" s="94" t="str">
        <x:v>否</x:v>
      </x:c>
      <x:c r="K41" s="94" t="str">
        <x:v>否</x:v>
      </x:c>
      <x:c r="L41" s="94" t="str">
        <x:v>保留</x:v>
      </x:c>
    </x:row>
    <x:row r="42">
      <x:c r="A42" s="94" t="n">
        <x:v>2018</x:v>
      </x:c>
      <x:c r="B42" s="94" t="str">
        <x:v>preferred_gdp_100m_cny</x:v>
      </x:c>
      <x:c r="C42" s="94" t="str">
        <x:v>GDP</x:v>
      </x:c>
      <x:c r="D42" s="103" t="n">
        <x:v>0.0434827829352491</x:v>
      </x:c>
      <x:c r="E42" s="106" t="n">
        <x:v>4.444201193147673</x:v>
      </x:c>
      <x:c r="F42" s="103" t="n">
        <x:v>0.11339916451978907</x:v>
      </x:c>
      <x:c r="G42" s="103" t="n">
        <x:v>-0.09415893287485089</x:v>
      </x:c>
      <x:c r="H42" s="103" t="n">
        <x:v>0.22380214549792798</x:v>
      </x:c>
      <x:c r="I42" s="94" t="str">
        <x:v>否</x:v>
      </x:c>
      <x:c r="J42" s="94" t="str">
        <x:v>否</x:v>
      </x:c>
      <x:c r="K42" s="94" t="str">
        <x:v>否</x:v>
      </x:c>
      <x:c r="L42" s="94" t="str">
        <x:v>保留</x:v>
      </x:c>
    </x:row>
    <x:row r="43">
      <x:c r="A43" s="94" t="n">
        <x:v>2019</x:v>
      </x:c>
      <x:c r="B43" s="94" t="str">
        <x:v>preferred_gdp_100m_cny</x:v>
      </x:c>
      <x:c r="C43" s="94" t="str">
        <x:v>GDP</x:v>
      </x:c>
      <x:c r="D43" s="103" t="n">
        <x:v>-0.5526313797492008</x:v>
      </x:c>
      <x:c r="E43" s="106" t="n">
        <x:v>-42.45663679714931</x:v>
      </x:c>
      <x:c r="F43" s="103" t="n">
        <x:v>-3.479066675825207</x:v>
      </x:c>
      <x:c r="G43" s="103" t="n">
        <x:v>-0.09415893287485089</x:v>
      </x:c>
      <x:c r="H43" s="103" t="n">
        <x:v>0.22380214549792798</x:v>
      </x:c>
      <x:c r="I43" s="94" t="str">
        <x:v>是</x:v>
      </x:c>
      <x:c r="J43" s="94" t="str">
        <x:v>是</x:v>
      </x:c>
      <x:c r="K43" s="94" t="str">
        <x:v>是</x:v>
      </x:c>
      <x:c r="L43" s="94" t="str">
        <x:v>保留并设置结构/口径哑变量</x:v>
      </x:c>
    </x:row>
    <x:row r="44">
      <x:c r="A44" s="94" t="n">
        <x:v>2020</x:v>
      </x:c>
      <x:c r="B44" s="94" t="str">
        <x:v>preferred_gdp_100m_cny</x:v>
      </x:c>
      <x:c r="C44" s="94" t="str">
        <x:v>GDP</x:v>
      </x:c>
      <x:c r="D44" s="103" t="n">
        <x:v>0.0476576980711938</x:v>
      </x:c>
      <x:c r="E44" s="106" t="n">
        <x:v>4.881158364447646</x:v>
      </x:c>
      <x:c r="F44" s="103" t="n">
        <x:v>0.13855917740168375</x:v>
      </x:c>
      <x:c r="G44" s="103" t="n">
        <x:v>-0.09415893287485089</x:v>
      </x:c>
      <x:c r="H44" s="103" t="n">
        <x:v>0.22380214549792798</x:v>
      </x:c>
      <x:c r="I44" s="94" t="str">
        <x:v>否</x:v>
      </x:c>
      <x:c r="J44" s="94" t="str">
        <x:v>否</x:v>
      </x:c>
      <x:c r="K44" s="94" t="str">
        <x:v>否</x:v>
      </x:c>
      <x:c r="L44" s="94" t="str">
        <x:v>保留</x:v>
      </x:c>
    </x:row>
    <x:row r="45">
      <x:c r="A45" s="94" t="n">
        <x:v>2021</x:v>
      </x:c>
      <x:c r="B45" s="94" t="str">
        <x:v>preferred_gdp_100m_cny</x:v>
      </x:c>
      <x:c r="C45" s="94" t="str">
        <x:v>GDP</x:v>
      </x:c>
      <x:c r="D45" s="103" t="n">
        <x:v>0.17431368851881945</x:v>
      </x:c>
      <x:c r="E45" s="106" t="n">
        <x:v>19.042893114526393</x:v>
      </x:c>
      <x:c r="F45" s="103" t="n">
        <x:v>0.9018480701016096</x:v>
      </x:c>
      <x:c r="G45" s="103" t="n">
        <x:v>-0.09415893287485089</x:v>
      </x:c>
      <x:c r="H45" s="103" t="n">
        <x:v>0.22380214549792798</x:v>
      </x:c>
      <x:c r="I45" s="94" t="str">
        <x:v>否</x:v>
      </x:c>
      <x:c r="J45" s="94" t="str">
        <x:v>否</x:v>
      </x:c>
      <x:c r="K45" s="94" t="str">
        <x:v>否</x:v>
      </x:c>
      <x:c r="L45" s="94" t="str">
        <x:v>保留</x:v>
      </x:c>
    </x:row>
    <x:row r="46">
      <x:c r="A46" s="94" t="n">
        <x:v>2022</x:v>
      </x:c>
      <x:c r="B46" s="94" t="str">
        <x:v>preferred_gdp_100m_cny</x:v>
      </x:c>
      <x:c r="C46" s="94" t="str">
        <x:v>GDP</x:v>
      </x:c>
      <x:c r="D46" s="103" t="n">
        <x:v>0.028892566364003613</x:v>
      </x:c>
      <x:c r="E46" s="106" t="n">
        <x:v>2.9314005588551715</x:v>
      </x:c>
      <x:c r="F46" s="103" t="n">
        <x:v>0.025471619904177522</x:v>
      </x:c>
      <x:c r="G46" s="103" t="n">
        <x:v>-0.09415893287485089</x:v>
      </x:c>
      <x:c r="H46" s="103" t="n">
        <x:v>0.22380214549792798</x:v>
      </x:c>
      <x:c r="I46" s="94" t="str">
        <x:v>否</x:v>
      </x:c>
      <x:c r="J46" s="94" t="str">
        <x:v>否</x:v>
      </x:c>
      <x:c r="K46" s="94" t="str">
        <x:v>否</x:v>
      </x:c>
      <x:c r="L46" s="94" t="str">
        <x:v>保留</x:v>
      </x:c>
    </x:row>
    <x:row r="47">
      <x:c r="A47" s="94" t="n">
        <x:v>2023</x:v>
      </x:c>
      <x:c r="B47" s="94" t="str">
        <x:v>preferred_gdp_100m_cny</x:v>
      </x:c>
      <x:c r="C47" s="94" t="str">
        <x:v>GDP</x:v>
      </x:c>
      <x:c r="D47" s="103" t="n">
        <x:v>0.021260376665878766</x:v>
      </x:c>
      <x:c r="E47" s="106" t="n">
        <x:v>2.148798865084988</x:v>
      </x:c>
      <x:c r="F47" s="103" t="n">
        <x:v>-0.020523564397558793</x:v>
      </x:c>
      <x:c r="G47" s="103" t="n">
        <x:v>-0.09415893287485089</x:v>
      </x:c>
      <x:c r="H47" s="103" t="n">
        <x:v>0.22380214549792798</x:v>
      </x:c>
      <x:c r="I47" s="94" t="str">
        <x:v>否</x:v>
      </x:c>
      <x:c r="J47" s="94" t="str">
        <x:v>否</x:v>
      </x:c>
      <x:c r="K47" s="94" t="str">
        <x:v>否</x:v>
      </x:c>
      <x:c r="L47" s="94" t="str">
        <x:v>保留</x:v>
      </x:c>
    </x:row>
    <x:row r="48">
      <x:c r="A48" s="94" t="n">
        <x:v>2024</x:v>
      </x:c>
      <x:c r="B48" s="94" t="str">
        <x:v>preferred_gdp_100m_cny</x:v>
      </x:c>
      <x:c r="C48" s="94" t="str">
        <x:v>GDP</x:v>
      </x:c>
      <x:c r="D48" s="103" t="n">
        <x:v>0.03596885662541993</x:v>
      </x:c>
      <x:c r="E48" s="106" t="n">
        <x:v>3.6623562032311945</x:v>
      </x:c>
      <x:c r="F48" s="103" t="n">
        <x:v>0.06811669132141332</x:v>
      </x:c>
      <x:c r="G48" s="103" t="n">
        <x:v>-0.09415893287485089</x:v>
      </x:c>
      <x:c r="H48" s="103" t="n">
        <x:v>0.22380214549792798</x:v>
      </x:c>
      <x:c r="I48" s="94" t="str">
        <x:v>否</x:v>
      </x:c>
      <x:c r="J48" s="94" t="str">
        <x:v>否</x:v>
      </x:c>
      <x:c r="K48" s="94" t="str">
        <x:v>否</x:v>
      </x:c>
      <x:c r="L48" s="94" t="str">
        <x:v>保留</x:v>
      </x:c>
    </x:row>
    <x:row r="49">
      <x:c r="A49" s="94" t="n">
        <x:v>2025</x:v>
      </x:c>
      <x:c r="B49" s="94" t="str">
        <x:v>preferred_gdp_100m_cny</x:v>
      </x:c>
      <x:c r="C49" s="94" t="str">
        <x:v>GDP</x:v>
      </x:c>
      <x:c r="D49" s="103" t="n">
        <x:v>0.04281889520879645</x:v>
      </x:c>
      <x:c r="E49" s="106" t="n">
        <x:v>4.374884981513374</x:v>
      </x:c>
      <x:c r="F49" s="103" t="n">
        <x:v>0.10939826313478385</x:v>
      </x:c>
      <x:c r="G49" s="103" t="n">
        <x:v>-0.09415893287485089</x:v>
      </x:c>
      <x:c r="H49" s="103" t="n">
        <x:v>0.22380214549792798</x:v>
      </x:c>
      <x:c r="I49" s="94" t="str">
        <x:v>否</x:v>
      </x:c>
      <x:c r="J49" s="94" t="str">
        <x:v>否</x:v>
      </x:c>
      <x:c r="K49" s="94" t="str">
        <x:v>否</x:v>
      </x:c>
      <x:c r="L49" s="94" t="str">
        <x:v>保留</x:v>
      </x:c>
    </x:row>
    <x:row r="50">
      <x:c r="A50" s="94" t="n">
        <x:v>2011</x:v>
      </x:c>
      <x:c r="B50" s="94" t="str">
        <x:v>preferred_tertiary_100m_cny</x:v>
      </x:c>
      <x:c r="C50" s="94" t="str">
        <x:v>第三产业增加值</x:v>
      </x:c>
      <x:c r="D50" s="103" t="n">
        <x:v>0.07622399816797198</x:v>
      </x:c>
      <x:c r="E50" s="106" t="n">
        <x:v>7.920428686779696</x:v>
      </x:c>
      <x:c r="F50" s="103" t="n">
        <x:v>0.3235824787086143</x:v>
      </x:c>
      <x:c r="G50" s="103" t="n">
        <x:v>-0.07138923874483094</x:v>
      </x:c>
      <x:c r="H50" s="103" t="n">
        <x:v>0.2014108567082724</x:v>
      </x:c>
      <x:c r="I50" s="94" t="str">
        <x:v>否</x:v>
      </x:c>
      <x:c r="J50" s="94" t="str">
        <x:v>否</x:v>
      </x:c>
      <x:c r="K50" s="94" t="str">
        <x:v>否</x:v>
      </x:c>
      <x:c r="L50" s="94" t="str">
        <x:v>保留</x:v>
      </x:c>
    </x:row>
    <x:row r="51">
      <x:c r="A51" s="94" t="n">
        <x:v>2012</x:v>
      </x:c>
      <x:c r="B51" s="94" t="str">
        <x:v>preferred_tertiary_100m_cny</x:v>
      </x:c>
      <x:c r="C51" s="94" t="str">
        <x:v>第三产业增加值</x:v>
      </x:c>
      <x:c r="D51" s="103" t="n">
        <x:v>0.13553591195642856</x:v>
      </x:c>
      <x:c r="E51" s="106" t="n">
        <x:v>14.515031968439695</x:v>
      </x:c>
      <x:c r="F51" s="103" t="n">
        <x:v>0.6908599585411531</x:v>
      </x:c>
      <x:c r="G51" s="103" t="n">
        <x:v>-0.07138923874483094</x:v>
      </x:c>
      <x:c r="H51" s="103" t="n">
        <x:v>0.2014108567082724</x:v>
      </x:c>
      <x:c r="I51" s="94" t="str">
        <x:v>否</x:v>
      </x:c>
      <x:c r="J51" s="94" t="str">
        <x:v>否</x:v>
      </x:c>
      <x:c r="K51" s="94" t="str">
        <x:v>否</x:v>
      </x:c>
      <x:c r="L51" s="94" t="str">
        <x:v>保留</x:v>
      </x:c>
    </x:row>
    <x:row r="52">
      <x:c r="A52" s="94" t="n">
        <x:v>2013</x:v>
      </x:c>
      <x:c r="B52" s="94" t="str">
        <x:v>preferred_tertiary_100m_cny</x:v>
      </x:c>
      <x:c r="C52" s="94" t="str">
        <x:v>第三产业增加值</x:v>
      </x:c>
      <x:c r="D52" s="103" t="n">
        <x:v>0.09414316722374405</x:v>
      </x:c>
      <x:c r="E52" s="106" t="n">
        <x:v>9.871703492516032</x:v>
      </x:c>
      <x:c r="F52" s="103" t="n">
        <x:v>0.43454344474606577</x:v>
      </x:c>
      <x:c r="G52" s="103" t="n">
        <x:v>-0.07138923874483094</x:v>
      </x:c>
      <x:c r="H52" s="103" t="n">
        <x:v>0.2014108567082724</x:v>
      </x:c>
      <x:c r="I52" s="94" t="str">
        <x:v>否</x:v>
      </x:c>
      <x:c r="J52" s="94" t="str">
        <x:v>否</x:v>
      </x:c>
      <x:c r="K52" s="94" t="str">
        <x:v>否</x:v>
      </x:c>
      <x:c r="L52" s="94" t="str">
        <x:v>保留</x:v>
      </x:c>
    </x:row>
    <x:row r="53">
      <x:c r="A53" s="94" t="n">
        <x:v>2014</x:v>
      </x:c>
      <x:c r="B53" s="94" t="str">
        <x:v>preferred_tertiary_100m_cny</x:v>
      </x:c>
      <x:c r="C53" s="94" t="str">
        <x:v>第三产业增加值</x:v>
      </x:c>
      <x:c r="D53" s="103" t="n">
        <x:v>0.10407847460297326</x:v>
      </x:c>
      <x:c r="E53" s="106" t="n">
        <x:v>10.968753378743626</x:v>
      </x:c>
      <x:c r="F53" s="103" t="n">
        <x:v>0.49606590157690755</x:v>
      </x:c>
      <x:c r="G53" s="103" t="n">
        <x:v>-0.07138923874483094</x:v>
      </x:c>
      <x:c r="H53" s="103" t="n">
        <x:v>0.2014108567082724</x:v>
      </x:c>
      <x:c r="I53" s="94" t="str">
        <x:v>否</x:v>
      </x:c>
      <x:c r="J53" s="94" t="str">
        <x:v>否</x:v>
      </x:c>
      <x:c r="K53" s="94" t="str">
        <x:v>否</x:v>
      </x:c>
      <x:c r="L53" s="94" t="str">
        <x:v>保留</x:v>
      </x:c>
    </x:row>
    <x:row r="54">
      <x:c r="A54" s="94" t="n">
        <x:v>2015</x:v>
      </x:c>
      <x:c r="B54" s="94" t="str">
        <x:v>preferred_tertiary_100m_cny</x:v>
      </x:c>
      <x:c r="C54" s="94" t="str">
        <x:v>第三产业增加值</x:v>
      </x:c>
      <x:c r="D54" s="103" t="n">
        <x:v>0.15217920633129722</x:v>
      </x:c>
      <x:c r="E54" s="106" t="n">
        <x:v>16.43688800116923</x:v>
      </x:c>
      <x:c r="F54" s="103" t="n">
        <x:v>0.7939203189927577</x:v>
      </x:c>
      <x:c r="G54" s="103" t="n">
        <x:v>-0.07138923874483094</x:v>
      </x:c>
      <x:c r="H54" s="103" t="n">
        <x:v>0.2014108567082724</x:v>
      </x:c>
      <x:c r="I54" s="94" t="str">
        <x:v>否</x:v>
      </x:c>
      <x:c r="J54" s="94" t="str">
        <x:v>否</x:v>
      </x:c>
      <x:c r="K54" s="94" t="str">
        <x:v>否</x:v>
      </x:c>
      <x:c r="L54" s="94" t="str">
        <x:v>保留</x:v>
      </x:c>
    </x:row>
    <x:row r="55">
      <x:c r="A55" s="94" t="n">
        <x:v>2016</x:v>
      </x:c>
      <x:c r="B55" s="94" t="str">
        <x:v>preferred_tertiary_100m_cny</x:v>
      </x:c>
      <x:c r="C55" s="94" t="str">
        <x:v>第三产业增加值</x:v>
      </x:c>
      <x:c r="D55" s="103" t="n">
        <x:v>-0.045231798263722034</x:v>
      </x:c>
      <x:c r="E55" s="106" t="n">
        <x:v>-4.422409104221565</x:v>
      </x:c>
      <x:c r="F55" s="103" t="n">
        <x:v>-0.4285088967878235</x:v>
      </x:c>
      <x:c r="G55" s="103" t="n">
        <x:v>-0.07138923874483094</x:v>
      </x:c>
      <x:c r="H55" s="103" t="n">
        <x:v>0.2014108567082724</x:v>
      </x:c>
      <x:c r="I55" s="94" t="str">
        <x:v>否</x:v>
      </x:c>
      <x:c r="J55" s="94" t="str">
        <x:v>否</x:v>
      </x:c>
      <x:c r="K55" s="94" t="str">
        <x:v>否</x:v>
      </x:c>
      <x:c r="L55" s="94" t="str">
        <x:v>保留</x:v>
      </x:c>
    </x:row>
    <x:row r="56">
      <x:c r="A56" s="94" t="n">
        <x:v>2017</x:v>
      </x:c>
      <x:c r="B56" s="94" t="str">
        <x:v>preferred_tertiary_100m_cny</x:v>
      </x:c>
      <x:c r="C56" s="94" t="str">
        <x:v>第三产业增加值</x:v>
      </x:c>
      <x:c r="D56" s="103" t="n">
        <x:v>-0.06819898003334757</x:v>
      </x:c>
      <x:c r="E56" s="106" t="n">
        <x:v>-6.592540710908828</x:v>
      </x:c>
      <x:c r="F56" s="103" t="n">
        <x:v>-0.570728698854733</x:v>
      </x:c>
      <x:c r="G56" s="103" t="n">
        <x:v>-0.07138923874483094</x:v>
      </x:c>
      <x:c r="H56" s="103" t="n">
        <x:v>0.2014108567082724</x:v>
      </x:c>
      <x:c r="I56" s="94" t="str">
        <x:v>否</x:v>
      </x:c>
      <x:c r="J56" s="94" t="str">
        <x:v>否</x:v>
      </x:c>
      <x:c r="K56" s="94" t="str">
        <x:v>否</x:v>
      </x:c>
      <x:c r="L56" s="94" t="str">
        <x:v>保留</x:v>
      </x:c>
    </x:row>
    <x:row r="57">
      <x:c r="A57" s="94" t="n">
        <x:v>2018</x:v>
      </x:c>
      <x:c r="B57" s="94" t="str">
        <x:v>preferred_tertiary_100m_cny</x:v>
      </x:c>
      <x:c r="C57" s="94" t="str">
        <x:v>第三产业增加值</x:v>
      </x:c>
      <x:c r="D57" s="103" t="n">
        <x:v>0.09361308875616281</x:v>
      </x:c>
      <x:c r="E57" s="106" t="n">
        <x:v>9.813478301621517</x:v>
      </x:c>
      <x:c r="F57" s="103" t="n">
        <x:v>0.43126103702641094</x:v>
      </x:c>
      <x:c r="G57" s="103" t="n">
        <x:v>-0.07138923874483094</x:v>
      </x:c>
      <x:c r="H57" s="103" t="n">
        <x:v>0.2014108567082724</x:v>
      </x:c>
      <x:c r="I57" s="94" t="str">
        <x:v>否</x:v>
      </x:c>
      <x:c r="J57" s="94" t="str">
        <x:v>否</x:v>
      </x:c>
      <x:c r="K57" s="94" t="str">
        <x:v>否</x:v>
      </x:c>
      <x:c r="L57" s="94" t="str">
        <x:v>保留</x:v>
      </x:c>
    </x:row>
    <x:row r="58">
      <x:c r="A58" s="94" t="n">
        <x:v>2019</x:v>
      </x:c>
      <x:c r="B58" s="94" t="str">
        <x:v>preferred_tertiary_100m_cny</x:v>
      </x:c>
      <x:c r="C58" s="94" t="str">
        <x:v>第三产业增加值</x:v>
      </x:c>
      <x:c r="D58" s="103" t="n">
        <x:v>-0.5373639268738133</x:v>
      </x:c>
      <x:c r="E58" s="106" t="n">
        <x:v>-41.571355411403204</x:v>
      </x:c>
      <x:c r="F58" s="103" t="n">
        <x:v>-3.4759412994110384</x:v>
      </x:c>
      <x:c r="G58" s="103" t="n">
        <x:v>-0.07138923874483094</x:v>
      </x:c>
      <x:c r="H58" s="103" t="n">
        <x:v>0.2014108567082724</x:v>
      </x:c>
      <x:c r="I58" s="94" t="str">
        <x:v>是</x:v>
      </x:c>
      <x:c r="J58" s="94" t="str">
        <x:v>是</x:v>
      </x:c>
      <x:c r="K58" s="94" t="str">
        <x:v>是</x:v>
      </x:c>
      <x:c r="L58" s="94" t="str">
        <x:v>保留并设置结构/口径哑变量</x:v>
      </x:c>
    </x:row>
    <x:row r="59">
      <x:c r="A59" s="94" t="n">
        <x:v>2020</x:v>
      </x:c>
      <x:c r="B59" s="94" t="str">
        <x:v>preferred_tertiary_100m_cny</x:v>
      </x:c>
      <x:c r="C59" s="94" t="str">
        <x:v>第三产业增加值</x:v>
      </x:c>
      <x:c r="D59" s="103" t="n">
        <x:v>0.03325858700197415</x:v>
      </x:c>
      <x:c r="E59" s="106" t="n">
        <x:v>3.3817836534950096</x:v>
      </x:c>
      <x:c r="F59" s="103" t="n">
        <x:v>0.05752753417759336</x:v>
      </x:c>
      <x:c r="G59" s="103" t="n">
        <x:v>-0.07138923874483094</x:v>
      </x:c>
      <x:c r="H59" s="103" t="n">
        <x:v>0.2014108567082724</x:v>
      </x:c>
      <x:c r="I59" s="94" t="str">
        <x:v>否</x:v>
      </x:c>
      <x:c r="J59" s="94" t="str">
        <x:v>否</x:v>
      </x:c>
      <x:c r="K59" s="94" t="str">
        <x:v>否</x:v>
      </x:c>
      <x:c r="L59" s="94" t="str">
        <x:v>保留</x:v>
      </x:c>
    </x:row>
    <x:row r="60">
      <x:c r="A60" s="94" t="n">
        <x:v>2021</x:v>
      </x:c>
      <x:c r="B60" s="94" t="str">
        <x:v>preferred_tertiary_100m_cny</x:v>
      </x:c>
      <x:c r="C60" s="94" t="str">
        <x:v>第三产业增加值</x:v>
      </x:c>
      <x:c r="D60" s="103" t="n">
        <x:v>0.1348485268005808</x:v>
      </x:c>
      <x:c r="E60" s="106" t="n">
        <x:v>14.436343083227335</x:v>
      </x:c>
      <x:c r="F60" s="103" t="n">
        <x:v>0.6866034597774393</x:v>
      </x:c>
      <x:c r="G60" s="103" t="n">
        <x:v>-0.07138923874483094</x:v>
      </x:c>
      <x:c r="H60" s="103" t="n">
        <x:v>0.2014108567082724</x:v>
      </x:c>
      <x:c r="I60" s="94" t="str">
        <x:v>否</x:v>
      </x:c>
      <x:c r="J60" s="94" t="str">
        <x:v>否</x:v>
      </x:c>
      <x:c r="K60" s="94" t="str">
        <x:v>否</x:v>
      </x:c>
      <x:c r="L60" s="94" t="str">
        <x:v>保留</x:v>
      </x:c>
    </x:row>
    <x:row r="61">
      <x:c r="A61" s="94" t="n">
        <x:v>2022</x:v>
      </x:c>
      <x:c r="B61" s="94" t="str">
        <x:v>preferred_tertiary_100m_cny</x:v>
      </x:c>
      <x:c r="C61" s="94" t="str">
        <x:v>第三产业增加值</x:v>
      </x:c>
      <x:c r="D61" s="103" t="n">
        <x:v>0.05546348823056313</x:v>
      </x:c>
      <x:c r="E61" s="106" t="n">
        <x:v>5.703042231677837</x:v>
      </x:c>
      <x:c r="F61" s="103" t="n">
        <x:v>0.1950270623879581</x:v>
      </x:c>
      <x:c r="G61" s="103" t="n">
        <x:v>-0.07138923874483094</x:v>
      </x:c>
      <x:c r="H61" s="103" t="n">
        <x:v>0.2014108567082724</x:v>
      </x:c>
      <x:c r="I61" s="94" t="str">
        <x:v>否</x:v>
      </x:c>
      <x:c r="J61" s="94" t="str">
        <x:v>否</x:v>
      </x:c>
      <x:c r="K61" s="94" t="str">
        <x:v>否</x:v>
      </x:c>
      <x:c r="L61" s="94" t="str">
        <x:v>保留</x:v>
      </x:c>
    </x:row>
    <x:row r="62">
      <x:c r="A62" s="94" t="n">
        <x:v>2023</x:v>
      </x:c>
      <x:c r="B62" s="94" t="str">
        <x:v>preferred_tertiary_100m_cny</x:v>
      </x:c>
      <x:c r="C62" s="94" t="str">
        <x:v>第三产业增加值</x:v>
      </x:c>
      <x:c r="D62" s="103" t="n">
        <x:v>0.028563007098191484</x:v>
      </x:c>
      <x:c r="E62" s="106" t="n">
        <x:v>2.8974841510981704</x:v>
      </x:c>
      <x:c r="F62" s="103" t="n">
        <x:v>0.028451069716093316</x:v>
      </x:c>
      <x:c r="G62" s="103" t="n">
        <x:v>-0.07138923874483094</x:v>
      </x:c>
      <x:c r="H62" s="103" t="n">
        <x:v>0.2014108567082724</x:v>
      </x:c>
      <x:c r="I62" s="94" t="str">
        <x:v>否</x:v>
      </x:c>
      <x:c r="J62" s="94" t="str">
        <x:v>否</x:v>
      </x:c>
      <x:c r="K62" s="94" t="str">
        <x:v>否</x:v>
      </x:c>
      <x:c r="L62" s="94" t="str">
        <x:v>保留</x:v>
      </x:c>
    </x:row>
    <x:row r="63">
      <x:c r="A63" s="94" t="n">
        <x:v>2024</x:v>
      </x:c>
      <x:c r="B63" s="94" t="str">
        <x:v>preferred_tertiary_100m_cny</x:v>
      </x:c>
      <x:c r="C63" s="94" t="str">
        <x:v>第三产业增加值</x:v>
      </x:c>
      <x:c r="D63" s="103" t="n">
        <x:v>0.04329031167135877</x:v>
      </x:c>
      <x:c r="E63" s="106" t="n">
        <x:v>4.424100620191405</x:v>
      </x:c>
      <x:c r="F63" s="103" t="n">
        <x:v>0.11964703630808379</x:v>
      </x:c>
      <x:c r="G63" s="103" t="n">
        <x:v>-0.07138923874483094</x:v>
      </x:c>
      <x:c r="H63" s="103" t="n">
        <x:v>0.2014108567082724</x:v>
      </x:c>
      <x:c r="I63" s="94" t="str">
        <x:v>否</x:v>
      </x:c>
      <x:c r="J63" s="94" t="str">
        <x:v>否</x:v>
      </x:c>
      <x:c r="K63" s="94" t="str">
        <x:v>否</x:v>
      </x:c>
      <x:c r="L63" s="94" t="str">
        <x:v>保留</x:v>
      </x:c>
    </x:row>
    <x:row r="64">
      <x:c r="A64" s="94" t="n">
        <x:v>2025</x:v>
      </x:c>
      <x:c r="B64" s="94" t="str">
        <x:v>preferred_tertiary_100m_cny</x:v>
      </x:c>
      <x:c r="C64" s="94" t="str">
        <x:v>第三产业增加值</x:v>
      </x:c>
      <x:c r="D64" s="103" t="n">
        <x:v>0.059123277194777835</x:v>
      </x:c>
      <x:c r="E64" s="106" t="n">
        <x:v>6.090601819690062</x:v>
      </x:c>
      <x:c r="F64" s="103" t="n">
        <x:v>0.2176895930945177</x:v>
      </x:c>
      <x:c r="G64" s="103" t="n">
        <x:v>-0.07138923874483094</x:v>
      </x:c>
      <x:c r="H64" s="103" t="n">
        <x:v>0.2014108567082724</x:v>
      </x:c>
      <x:c r="I64" s="94" t="str">
        <x:v>否</x:v>
      </x:c>
      <x:c r="J64" s="94" t="str">
        <x:v>否</x:v>
      </x:c>
      <x:c r="K64" s="94" t="str">
        <x:v>否</x:v>
      </x:c>
      <x:c r="L64" s="94" t="str">
        <x:v>保留</x:v>
      </x:c>
    </x:row>
    <x:row r="65">
      <x:c r="A65" s="94" t="n">
        <x:v>2011</x:v>
      </x:c>
      <x:c r="B65" s="94" t="str">
        <x:v>per_visit_spend_yuan</x:v>
      </x:c>
      <x:c r="C65" s="94" t="str">
        <x:v>人均次消费</x:v>
      </x:c>
      <x:c r="D65" s="103" t="n">
        <x:v>-0.00040060344337700116</x:v>
      </x:c>
      <x:c r="E65" s="106" t="n">
        <x:v>-0.040052321253152036</x:v>
      </x:c>
      <x:c r="F65" s="103" t="n">
        <x:v>-0.3971217957151805</x:v>
      </x:c>
      <x:c r="G65" s="103" t="n">
        <x:v>-0.09273075285163523</x:v>
      </x:c>
      <x:c r="H65" s="103" t="n">
        <x:v>0.15401711682822272</x:v>
      </x:c>
      <x:c r="I65" s="94" t="str">
        <x:v>否</x:v>
      </x:c>
      <x:c r="J65" s="94" t="str">
        <x:v>否</x:v>
      </x:c>
      <x:c r="K65" s="94" t="str">
        <x:v>否</x:v>
      </x:c>
      <x:c r="L65" s="94" t="str">
        <x:v>保留</x:v>
      </x:c>
    </x:row>
    <x:row r="66">
      <x:c r="A66" s="94" t="n">
        <x:v>2012</x:v>
      </x:c>
      <x:c r="B66" s="94" t="str">
        <x:v>per_visit_spend_yuan</x:v>
      </x:c>
      <x:c r="C66" s="94" t="str">
        <x:v>人均次消费</x:v>
      </x:c>
      <x:c r="D66" s="103" t="n">
        <x:v>0.07513940174501599</x:v>
      </x:c>
      <x:c r="E66" s="106" t="n">
        <x:v>7.803442028985525</x:v>
      </x:c>
      <x:c r="F66" s="103" t="n">
        <x:v>0.29703426266589716</x:v>
      </x:c>
      <x:c r="G66" s="103" t="n">
        <x:v>-0.09273075285163523</x:v>
      </x:c>
      <x:c r="H66" s="103" t="n">
        <x:v>0.15401711682822272</x:v>
      </x:c>
      <x:c r="I66" s="94" t="str">
        <x:v>否</x:v>
      </x:c>
      <x:c r="J66" s="94" t="str">
        <x:v>否</x:v>
      </x:c>
      <x:c r="K66" s="94" t="str">
        <x:v>否</x:v>
      </x:c>
      <x:c r="L66" s="94" t="str">
        <x:v>保留</x:v>
      </x:c>
    </x:row>
    <x:row r="67">
      <x:c r="A67" s="94" t="n">
        <x:v>2013</x:v>
      </x:c>
      <x:c r="B67" s="94" t="str">
        <x:v>per_visit_spend_yuan</x:v>
      </x:c>
      <x:c r="C67" s="94" t="str">
        <x:v>人均次消费</x:v>
      </x:c>
      <x:c r="D67" s="103" t="n">
        <x:v>0.07804944969358285</x:v>
      </x:c>
      <x:c r="E67" s="106" t="n">
        <x:v>8.117612117612124</x:v>
      </x:c>
      <x:c r="F67" s="103" t="n">
        <x:v>0.32377542330838416</x:v>
      </x:c>
      <x:c r="G67" s="103" t="n">
        <x:v>-0.09273075285163523</x:v>
      </x:c>
      <x:c r="H67" s="103" t="n">
        <x:v>0.15401711682822272</x:v>
      </x:c>
      <x:c r="I67" s="94" t="str">
        <x:v>否</x:v>
      </x:c>
      <x:c r="J67" s="94" t="str">
        <x:v>否</x:v>
      </x:c>
      <x:c r="K67" s="94" t="str">
        <x:v>否</x:v>
      </x:c>
      <x:c r="L67" s="94" t="str">
        <x:v>保留</x:v>
      </x:c>
    </x:row>
    <x:row r="68">
      <x:c r="A68" s="94" t="n">
        <x:v>2014</x:v>
      </x:c>
      <x:c r="B68" s="94" t="str">
        <x:v>per_visit_spend_yuan</x:v>
      </x:c>
      <x:c r="C68" s="94" t="str">
        <x:v>人均次消费</x:v>
      </x:c>
      <x:c r="D68" s="103" t="n">
        <x:v>0.041208169462300326</x:v>
      </x:c>
      <x:c r="E68" s="106" t="n">
        <x:v>4.206900991373699</x:v>
      </x:c>
      <x:c r="F68" s="103" t="n">
        <x:v>-0.014768343100957837</x:v>
      </x:c>
      <x:c r="G68" s="103" t="n">
        <x:v>-0.09273075285163523</x:v>
      </x:c>
      <x:c r="H68" s="103" t="n">
        <x:v>0.15401711682822272</x:v>
      </x:c>
      <x:c r="I68" s="94" t="str">
        <x:v>否</x:v>
      </x:c>
      <x:c r="J68" s="94" t="str">
        <x:v>否</x:v>
      </x:c>
      <x:c r="K68" s="94" t="str">
        <x:v>否</x:v>
      </x:c>
      <x:c r="L68" s="94" t="str">
        <x:v>保留</x:v>
      </x:c>
    </x:row>
    <x:row r="69">
      <x:c r="A69" s="94" t="n">
        <x:v>2015</x:v>
      </x:c>
      <x:c r="B69" s="94" t="str">
        <x:v>per_visit_spend_yuan</x:v>
      </x:c>
      <x:c r="C69" s="94" t="str">
        <x:v>人均次消费</x:v>
      </x:c>
      <x:c r="D69" s="103" t="n">
        <x:v>0.016160049850129532</x:v>
      </x:c>
      <x:c r="E69" s="106" t="n">
        <x:v>1.6291329665153842</x:v>
      </x:c>
      <x:c r="F69" s="103" t="n">
        <x:v>-0.24494179803360158</x:v>
      </x:c>
      <x:c r="G69" s="103" t="n">
        <x:v>-0.09273075285163523</x:v>
      </x:c>
      <x:c r="H69" s="103" t="n">
        <x:v>0.15401711682822272</x:v>
      </x:c>
      <x:c r="I69" s="94" t="str">
        <x:v>否</x:v>
      </x:c>
      <x:c r="J69" s="94" t="str">
        <x:v>否</x:v>
      </x:c>
      <x:c r="K69" s="94" t="str">
        <x:v>否</x:v>
      </x:c>
      <x:c r="L69" s="94" t="str">
        <x:v>保留</x:v>
      </x:c>
    </x:row>
    <x:row r="70">
      <x:c r="A70" s="94" t="n">
        <x:v>2016</x:v>
      </x:c>
      <x:c r="B70" s="94" t="str">
        <x:v>per_visit_spend_yuan</x:v>
      </x:c>
      <x:c r="C70" s="94" t="str">
        <x:v>人均次消费</x:v>
      </x:c>
      <x:c r="D70" s="103" t="n">
        <x:v>0.008977983179781823</x:v>
      </x:c>
      <x:c r="E70" s="106" t="n">
        <x:v>0.9018406152464951</x:v>
      </x:c>
      <x:c r="F70" s="103" t="n">
        <x:v>-0.31093961043095514</x:v>
      </x:c>
      <x:c r="G70" s="103" t="n">
        <x:v>-0.09273075285163523</x:v>
      </x:c>
      <x:c r="H70" s="103" t="n">
        <x:v>0.15401711682822272</x:v>
      </x:c>
      <x:c r="I70" s="94" t="str">
        <x:v>否</x:v>
      </x:c>
      <x:c r="J70" s="94" t="str">
        <x:v>否</x:v>
      </x:c>
      <x:c r="K70" s="94" t="str">
        <x:v>否</x:v>
      </x:c>
      <x:c r="L70" s="94" t="str">
        <x:v>保留</x:v>
      </x:c>
    </x:row>
    <x:row r="71">
      <x:c r="A71" s="94" t="n">
        <x:v>2017</x:v>
      </x:c>
      <x:c r="B71" s="94" t="str">
        <x:v>per_visit_spend_yuan</x:v>
      </x:c>
      <x:c r="C71" s="94" t="str">
        <x:v>人均次消费</x:v>
      </x:c>
      <x:c r="D71" s="103" t="n">
        <x:v>0.041264805873674426</x:v>
      </x:c>
      <x:c r="E71" s="106" t="n">
        <x:v>4.212803063420778</x:v>
      </x:c>
      <x:c r="F71" s="103" t="n">
        <x:v>-0.01424789690847683</x:v>
      </x:c>
      <x:c r="G71" s="103" t="n">
        <x:v>-0.09273075285163523</x:v>
      </x:c>
      <x:c r="H71" s="103" t="n">
        <x:v>0.15401711682822272</x:v>
      </x:c>
      <x:c r="I71" s="94" t="str">
        <x:v>否</x:v>
      </x:c>
      <x:c r="J71" s="94" t="str">
        <x:v>否</x:v>
      </x:c>
      <x:c r="K71" s="94" t="str">
        <x:v>否</x:v>
      </x:c>
      <x:c r="L71" s="94" t="str">
        <x:v>保留</x:v>
      </x:c>
    </x:row>
    <x:row r="72">
      <x:c r="A72" s="94" t="n">
        <x:v>2018</x:v>
      </x:c>
      <x:c r="B72" s="94" t="str">
        <x:v>per_visit_spend_yuan</x:v>
      </x:c>
      <x:c r="C72" s="94" t="str">
        <x:v>人均次消费</x:v>
      </x:c>
      <x:c r="D72" s="103" t="n">
        <x:v>-0.017903679559544194</x:v>
      </x:c>
      <x:c r="E72" s="106" t="n">
        <x:v>-1.774436090225574</x:v>
      </x:c>
      <x:c r="F72" s="103" t="n">
        <x:v>-0.5579619531396002</x:v>
      </x:c>
      <x:c r="G72" s="103" t="n">
        <x:v>-0.09273075285163523</x:v>
      </x:c>
      <x:c r="H72" s="103" t="n">
        <x:v>0.15401711682822272</x:v>
      </x:c>
      <x:c r="I72" s="94" t="str">
        <x:v>否</x:v>
      </x:c>
      <x:c r="J72" s="94" t="str">
        <x:v>否</x:v>
      </x:c>
      <x:c r="K72" s="94" t="str">
        <x:v>否</x:v>
      </x:c>
      <x:c r="L72" s="94" t="str">
        <x:v>保留</x:v>
      </x:c>
    </x:row>
    <x:row r="73">
      <x:c r="A73" s="94" t="n">
        <x:v>2019</x:v>
      </x:c>
      <x:c r="B73" s="94" t="str">
        <x:v>per_visit_spend_yuan</x:v>
      </x:c>
      <x:c r="C73" s="94" t="str">
        <x:v>人均次消费</x:v>
      </x:c>
      <x:c r="D73" s="103" t="n">
        <x:v>0.09882512191176929</x:v>
      </x:c>
      <x:c r="E73" s="106" t="n">
        <x:v>10.387323943661965</x:v>
      </x:c>
      <x:c r="F73" s="103" t="n">
        <x:v>0.5146882873097423</x:v>
      </x:c>
      <x:c r="G73" s="103" t="n">
        <x:v>-0.09273075285163523</x:v>
      </x:c>
      <x:c r="H73" s="103" t="n">
        <x:v>0.15401711682822272</x:v>
      </x:c>
      <x:c r="I73" s="94" t="str">
        <x:v>否</x:v>
      </x:c>
      <x:c r="J73" s="94" t="str">
        <x:v>否</x:v>
      </x:c>
      <x:c r="K73" s="94" t="str">
        <x:v>否</x:v>
      </x:c>
      <x:c r="L73" s="94" t="str">
        <x:v>保留</x:v>
      </x:c>
    </x:row>
    <x:row r="74">
      <x:c r="A74" s="94" t="n">
        <x:v>2020</x:v>
      </x:c>
      <x:c r="B74" s="94" t="str">
        <x:v>per_visit_spend_yuan</x:v>
      </x:c>
      <x:c r="C74" s="94" t="str">
        <x:v>人均次消费</x:v>
      </x:c>
      <x:c r="D74" s="103" t="n">
        <x:v>0</x:v>
      </x:c>
      <x:c r="E74" s="106" t="n">
        <x:v>0</x:v>
      </x:c>
      <x:c r="F74" s="103" t="n">
        <x:v>-0.39344055017468915</x:v>
      </x:c>
      <x:c r="G74" s="103" t="n">
        <x:v>-0.09273075285163523</x:v>
      </x:c>
      <x:c r="H74" s="103" t="n">
        <x:v>0.15401711682822272</x:v>
      </x:c>
      <x:c r="I74" s="94" t="str">
        <x:v>否</x:v>
      </x:c>
      <x:c r="J74" s="94" t="str">
        <x:v>否</x:v>
      </x:c>
      <x:c r="K74" s="94" t="str">
        <x:v>否</x:v>
      </x:c>
      <x:c r="L74" s="94" t="str">
        <x:v>保留</x:v>
      </x:c>
    </x:row>
    <x:row r="75">
      <x:c r="A75" s="94" t="n">
        <x:v>2021</x:v>
      </x:c>
      <x:c r="B75" s="94" t="str">
        <x:v>per_visit_spend_yuan</x:v>
      </x:c>
      <x:c r="C75" s="94" t="str">
        <x:v>人均次消费</x:v>
      </x:c>
      <x:c r="D75" s="103" t="n">
        <x:v>0.04783392965153599</x:v>
      </x:c>
      <x:c r="E75" s="106" t="n">
        <x:v>4.899643365506965</x:v>
      </x:c>
      <x:c r="F75" s="103" t="n">
        <x:v>0.0461174294809693</x:v>
      </x:c>
      <x:c r="G75" s="103" t="n">
        <x:v>-0.09273075285163523</x:v>
      </x:c>
      <x:c r="H75" s="103" t="n">
        <x:v>0.15401711682822272</x:v>
      </x:c>
      <x:c r="I75" s="94" t="str">
        <x:v>否</x:v>
      </x:c>
      <x:c r="J75" s="94" t="str">
        <x:v>否</x:v>
      </x:c>
      <x:c r="K75" s="94" t="str">
        <x:v>否</x:v>
      </x:c>
      <x:c r="L75" s="94" t="str">
        <x:v>保留</x:v>
      </x:c>
    </x:row>
    <x:row r="76">
      <x:c r="A76" s="94" t="n">
        <x:v>2022</x:v>
      </x:c>
      <x:c r="B76" s="94" t="str">
        <x:v>per_visit_spend_yuan</x:v>
      </x:c>
      <x:c r="C76" s="94" t="str">
        <x:v>人均次消费</x:v>
      </x:c>
      <x:c r="D76" s="103" t="n">
        <x:v>-0.12654779006345596</x:v>
      </x:c>
      <x:c r="E76" s="106" t="n">
        <x:v>-11.886796081877046</x:v>
      </x:c>
      <x:c r="F76" s="103" t="n">
        <x:v>-1.5563199400847956</x:v>
      </x:c>
      <x:c r="G76" s="103" t="n">
        <x:v>-0.09273075285163523</x:v>
      </x:c>
      <x:c r="H76" s="103" t="n">
        <x:v>0.15401711682822272</x:v>
      </x:c>
      <x:c r="I76" s="94" t="str">
        <x:v>是</x:v>
      </x:c>
      <x:c r="J76" s="94" t="str">
        <x:v>否</x:v>
      </x:c>
      <x:c r="K76" s="94" t="str">
        <x:v>是</x:v>
      </x:c>
      <x:c r="L76" s="94" t="str">
        <x:v>保留并设置结构/口径哑变量</x:v>
      </x:c>
    </x:row>
    <x:row r="77">
      <x:c r="A77" s="94" t="n">
        <x:v>2023</x:v>
      </x:c>
      <x:c r="B77" s="94" t="str">
        <x:v>per_visit_spend_yuan</x:v>
      </x:c>
      <x:c r="C77" s="94" t="str">
        <x:v>人均次消费</x:v>
      </x:c>
      <x:c r="D77" s="103" t="n">
        <x:v>0.39734361410842745</x:v>
      </x:c>
      <x:c r="E77" s="106" t="n">
        <x:v>48.786709434972835</x:v>
      </x:c>
      <x:c r="F77" s="103" t="n">
        <x:v>3.257849601375083</x:v>
      </x:c>
      <x:c r="G77" s="103" t="n">
        <x:v>-0.09273075285163523</x:v>
      </x:c>
      <x:c r="H77" s="103" t="n">
        <x:v>0.15401711682822272</x:v>
      </x:c>
      <x:c r="I77" s="94" t="str">
        <x:v>是</x:v>
      </x:c>
      <x:c r="J77" s="94" t="str">
        <x:v>是</x:v>
      </x:c>
      <x:c r="K77" s="94" t="str">
        <x:v>是</x:v>
      </x:c>
      <x:c r="L77" s="94" t="str">
        <x:v>保留并设置结构/口径哑变量</x:v>
      </x:c>
    </x:row>
    <x:row r="78">
      <x:c r="A78" s="94" t="n">
        <x:v>2024</x:v>
      </x:c>
      <x:c r="B78" s="94" t="str">
        <x:v>per_visit_spend_yuan</x:v>
      </x:c>
      <x:c r="C78" s="94" t="str">
        <x:v>人均次消费</x:v>
      </x:c>
      <x:c r="D78" s="103" t="n">
        <x:v>0.03129225547967085</x:v>
      </x:c>
      <x:c r="E78" s="106" t="n">
        <x:v>3.178700523279887</x:v>
      </x:c>
      <x:c r="F78" s="103" t="n">
        <x:v>-0.10588816429055871</x:v>
      </x:c>
      <x:c r="G78" s="103" t="n">
        <x:v>-0.09273075285163523</x:v>
      </x:c>
      <x:c r="H78" s="103" t="n">
        <x:v>0.15401711682822272</x:v>
      </x:c>
      <x:c r="I78" s="94" t="str">
        <x:v>否</x:v>
      </x:c>
      <x:c r="J78" s="94" t="str">
        <x:v>否</x:v>
      </x:c>
      <x:c r="K78" s="94" t="str">
        <x:v>否</x:v>
      </x:c>
      <x:c r="L78" s="94" t="str">
        <x:v>保留</x:v>
      </x:c>
    </x:row>
    <x:row r="79">
      <x:c r="A79" s="95" t="n">
        <x:v>2025</x:v>
      </x:c>
      <x:c r="B79" s="95" t="str">
        <x:v>per_visit_spend_yuan</x:v>
      </x:c>
      <x:c r="C79" s="95" t="str">
        <x:v>人均次消费</x:v>
      </x:c>
      <x:c r="D79" s="104" t="n">
        <x:v>-0.049013179471185886</x:v>
      </x:c>
      <x:c r="E79" s="107" t="n">
        <x:v>-4.783141946256192</x:v>
      </x:c>
      <x:c r="F79" s="104" t="n">
        <x:v>-0.8438349522612605</x:v>
      </x:c>
      <x:c r="G79" s="104" t="n">
        <x:v>-0.09273075285163523</x:v>
      </x:c>
      <x:c r="H79" s="104" t="n">
        <x:v>0.15401711682822272</x:v>
      </x:c>
      <x:c r="I79" s="95" t="str">
        <x:v>否</x:v>
      </x:c>
      <x:c r="J79" s="95" t="str">
        <x:v>否</x:v>
      </x:c>
      <x:c r="K79" s="95" t="str">
        <x:v>否</x:v>
      </x:c>
      <x:c r="L79" s="95" t="str">
        <x:v>保留</x:v>
      </x:c>
    </x:row>
  </x:sheetData>
  <x:mergeCells>
    <x:mergeCell ref="A1:L1"/>
    <x:mergeCell ref="A2:L2"/>
  </x:mergeCells>
  <x:conditionalFormatting sqref="K5:K79">
    <x:cfRule type="containsText" dxfId="4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02fe3721901941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3" hidden="0" customWidth="1"/>
    <x:col min="5" max="5" width="15" hidden="0" customWidth="1"/>
    <x:col min="6" max="6" width="16" hidden="0" customWidth="1"/>
    <x:col min="7" max="7" width="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36" customHeight="1">
      <x:c r="A1" s="3" t="str">
        <x:v>异常检测可视化：趋势与同比分布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8" t="str">
        <x:v>红色标记年份见异常检测表。箱线图基于对数同比，不对补全值或结构冲击作机械删除。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</x:row>
    <x:row r="4">
      <x:c r="A4" s="90" t="str">
        <x:v>年份</x:v>
      </x:c>
      <x:c r="B4" s="91" t="str">
        <x:v>游客量</x:v>
      </x:c>
      <x:c r="C4" s="91" t="str">
        <x:v>综合收入</x:v>
      </x:c>
      <x:c r="D4" s="91" t="str">
        <x:v>GDP</x:v>
      </x:c>
      <x:c r="E4" s="91" t="str">
        <x:v>第三产业</x:v>
      </x:c>
      <x:c r="F4" s="92" t="str">
        <x:v>人均次消费</x:v>
      </x:c>
    </x:row>
    <x:row r="5">
      <x:c r="A5" s="93" t="n">
        <x:f>'建模主表'!A5</x:f>
        <x:v>2010</x:v>
      </x:c>
      <x:c r="B5" s="108" t="n">
        <x:f>'建模主表'!B5</x:f>
        <x:v>848</x:v>
      </x:c>
      <x:c r="C5" s="108" t="n">
        <x:f>'建模主表'!C5</x:f>
        <x:v>35.521236</x:v>
      </x:c>
      <x:c r="D5" s="108" t="n">
        <x:f>'建模主表'!D5</x:f>
        <x:v>215.47</x:v>
      </x:c>
      <x:c r="E5" s="108" t="n">
        <x:f>'建模主表'!E5</x:f>
        <x:v>136.23</x:v>
      </x:c>
      <x:c r="F5" s="108" t="n">
        <x:f>'建模主表'!F5</x:f>
        <x:v>418.88250000000005</x:v>
      </x:c>
    </x:row>
    <x:row r="6">
      <x:c r="A6" s="94" t="n">
        <x:f>'建模主表'!A6</x:f>
        <x:v>2011</x:v>
      </x:c>
      <x:c r="B6" s="109" t="n">
        <x:f>'建模主表'!B6</x:f>
        <x:v>1098.6</x:v>
      </x:c>
      <x:c r="C6" s="109" t="n">
        <x:f>'建模主表'!C6</x:f>
        <x:v>46</x:v>
      </x:c>
      <x:c r="D6" s="109" t="n">
        <x:f>'建模主表'!D6</x:f>
        <x:v>250.11</x:v>
      </x:c>
      <x:c r="E6" s="109" t="n">
        <x:f>'建模主表'!E6</x:f>
        <x:v>147.02</x:v>
      </x:c>
      <x:c r="F6" s="109" t="n">
        <x:f>'建模主表'!F6</x:f>
        <x:v>418.7147278354269</x:v>
      </x:c>
    </x:row>
    <x:row r="7">
      <x:c r="A7" s="94" t="n">
        <x:f>'建模主表'!A7</x:f>
        <x:v>2012</x:v>
      </x:c>
      <x:c r="B7" s="109" t="n">
        <x:f>'建模主表'!B7</x:f>
        <x:v>1152</x:v>
      </x:c>
      <x:c r="C7" s="109" t="n">
        <x:f>'建模主表'!C7</x:f>
        <x:v>52</x:v>
      </x:c>
      <x:c r="D7" s="109" t="n">
        <x:f>'建模主表'!D7</x:f>
        <x:v>291.52</x:v>
      </x:c>
      <x:c r="E7" s="109" t="n">
        <x:f>'建模主表'!E7</x:f>
        <x:v>168.36</x:v>
      </x:c>
      <x:c r="F7" s="109" t="n">
        <x:f>'建模主表'!F7</x:f>
        <x:v>451.3888888888889</x:v>
      </x:c>
    </x:row>
    <x:row r="8">
      <x:c r="A8" s="94" t="n">
        <x:f>'建模主表'!A8</x:f>
        <x:v>2013</x:v>
      </x:c>
      <x:c r="B8" s="109" t="n">
        <x:f>'建模主表'!B8</x:f>
        <x:v>1295</x:v>
      </x:c>
      <x:c r="C8" s="109" t="n">
        <x:f>'建模主表'!C8</x:f>
        <x:v>63.2</x:v>
      </x:c>
      <x:c r="D8" s="109" t="n">
        <x:f>'建模主表'!D8</x:f>
        <x:v>316.84</x:v>
      </x:c>
      <x:c r="E8" s="109" t="n">
        <x:f>'建模主表'!E8</x:f>
        <x:v>184.98</x:v>
      </x:c>
      <x:c r="F8" s="109" t="n">
        <x:f>'建模主表'!F8</x:f>
        <x:v>488.03088803088804</x:v>
      </x:c>
    </x:row>
    <x:row r="9">
      <x:c r="A9" s="94" t="n">
        <x:f>'建模主表'!A9</x:f>
        <x:v>2014</x:v>
      </x:c>
      <x:c r="B9" s="109" t="n">
        <x:f>'建模主表'!B9</x:f>
        <x:v>1553.4</x:v>
      </x:c>
      <x:c r="C9" s="109" t="n">
        <x:f>'建模主表'!C9</x:f>
        <x:v>79</x:v>
      </x:c>
      <x:c r="D9" s="109" t="n">
        <x:f>'建模主表'!D9</x:f>
        <x:v>350.91</x:v>
      </x:c>
      <x:c r="E9" s="109" t="n">
        <x:f>'建模主表'!E9</x:f>
        <x:v>205.27</x:v>
      </x:c>
      <x:c r="F9" s="109" t="n">
        <x:f>'建模主表'!F9</x:f>
        <x:v>508.5618642976696</x:v>
      </x:c>
    </x:row>
    <x:row r="10">
      <x:c r="A10" s="94" t="n">
        <x:f>'建模主表'!A10</x:f>
        <x:v>2015</x:v>
      </x:c>
      <x:c r="B10" s="109" t="n">
        <x:f>'建模主表'!B10</x:f>
        <x:v>1818.72</x:v>
      </x:c>
      <x:c r="C10" s="109" t="n">
        <x:f>'建模主表'!C10</x:f>
        <x:v>94</x:v>
      </x:c>
      <x:c r="D10" s="109" t="n">
        <x:f>'建模主表'!D10</x:f>
        <x:v>390.54</x:v>
      </x:c>
      <x:c r="E10" s="109" t="n">
        <x:f>'建模主表'!E10</x:f>
        <x:v>239.01</x:v>
      </x:c>
      <x:c r="F10" s="109" t="n">
        <x:f>'建模主表'!F10</x:f>
        <x:v>516.8470132840679</x:v>
      </x:c>
    </x:row>
    <x:row r="11">
      <x:c r="A11" s="94" t="n">
        <x:f>'建模主表'!A11</x:f>
        <x:v>2016</x:v>
      </x:c>
      <x:c r="B11" s="109" t="n">
        <x:f>'建模主表'!B11</x:f>
        <x:v>2086</x:v>
      </x:c>
      <x:c r="C11" s="109" t="n">
        <x:f>'建模主表'!C11</x:f>
        <x:v>108.7866</x:v>
      </x:c>
      <x:c r="D11" s="109" t="n">
        <x:f>'建模主表'!D11</x:f>
        <x:v>386.54</x:v>
      </x:c>
      <x:c r="E11" s="109" t="n">
        <x:f>'建模主表'!E11</x:f>
        <x:v>228.44</x:v>
      </x:c>
      <x:c r="F11" s="109" t="n">
        <x:f>'建模主表'!F11</x:f>
        <x:v>521.5081495685522</x:v>
      </x:c>
    </x:row>
    <x:row r="12">
      <x:c r="A12" s="94" t="n">
        <x:f>'建模主表'!A12</x:f>
        <x:v>2017</x:v>
      </x:c>
      <x:c r="B12" s="109" t="n">
        <x:f>'建模主表'!B12</x:f>
        <x:v>2392</x:v>
      </x:c>
      <x:c r="C12" s="109" t="n">
        <x:f>'建模主表'!C12</x:f>
        <x:v>130</x:v>
      </x:c>
      <x:c r="D12" s="109" t="n">
        <x:f>'建模主表'!D12</x:f>
        <x:v>365.42</x:v>
      </x:c>
      <x:c r="E12" s="109" t="n">
        <x:f>'建模主表'!E12</x:f>
        <x:v>213.38</x:v>
      </x:c>
      <x:c r="F12" s="109" t="n">
        <x:f>'建模主表'!F12</x:f>
        <x:v>543.4782608695652</x:v>
      </x:c>
    </x:row>
    <x:row r="13">
      <x:c r="A13" s="94" t="n">
        <x:f>'建模主表'!A13</x:f>
        <x:v>2018</x:v>
      </x:c>
      <x:c r="B13" s="109" t="n">
        <x:f>'建模主表'!B13</x:f>
        <x:v>2660</x:v>
      </x:c>
      <x:c r="C13" s="109" t="n">
        <x:f>'建模主表'!C13</x:f>
        <x:v>142</x:v>
      </x:c>
      <x:c r="D13" s="109" t="n">
        <x:f>'建模主表'!D13</x:f>
        <x:v>381.66</x:v>
      </x:c>
      <x:c r="E13" s="109" t="n">
        <x:f>'建模主表'!E13</x:f>
        <x:v>234.32</x:v>
      </x:c>
      <x:c r="F13" s="109" t="n">
        <x:f>'建模主表'!F13</x:f>
        <x:v>533.8345864661654</x:v>
      </x:c>
    </x:row>
    <x:row r="14">
      <x:c r="A14" s="94" t="n">
        <x:f>'建模主表'!A14</x:f>
        <x:v>2019</x:v>
      </x:c>
      <x:c r="B14" s="109" t="n">
        <x:f>'建模主表'!B14</x:f>
        <x:v>2800</x:v>
      </x:c>
      <x:c r="C14" s="109" t="n">
        <x:f>'建模主表'!C14</x:f>
        <x:v>165</x:v>
      </x:c>
      <x:c r="D14" s="109" t="n">
        <x:f>'建模主表'!D14</x:f>
        <x:v>219.62</x:v>
      </x:c>
      <x:c r="E14" s="109" t="n">
        <x:f>'建模主表'!E14</x:f>
        <x:v>136.91</x:v>
      </x:c>
      <x:c r="F14" s="109" t="n">
        <x:f>'建模主表'!F14</x:f>
        <x:v>589.2857142857143</x:v>
      </x:c>
    </x:row>
    <x:row r="15">
      <x:c r="A15" s="94" t="n">
        <x:f>'建模主表'!A15</x:f>
        <x:v>2020</x:v>
      </x:c>
      <x:c r="B15" s="109" t="n">
        <x:f>'建模主表'!B15</x:f>
        <x:v>2426.15942456541</x:v>
      </x:c>
      <x:c r="C15" s="109" t="n">
        <x:f>'建模主表'!C15</x:f>
        <x:v>142.97010894760453</x:v>
      </x:c>
      <x:c r="D15" s="109" t="n">
        <x:f>'建模主表'!D15</x:f>
        <x:v>230.34</x:v>
      </x:c>
      <x:c r="E15" s="109" t="n">
        <x:f>'建模主表'!E15</x:f>
        <x:v>141.54</x:v>
      </x:c>
      <x:c r="F15" s="109" t="n">
        <x:f>'建模主表'!F15</x:f>
        <x:v>589.2857142857143</x:v>
      </x:c>
    </x:row>
    <x:row r="16">
      <x:c r="A16" s="94" t="n">
        <x:f>'建模主表'!A16</x:f>
        <x:v>2021</x:v>
      </x:c>
      <x:c r="B16" s="109" t="n">
        <x:f>'建模主表'!B16</x:f>
        <x:v>1779.4785632993512</x:v>
      </x:c>
      <x:c r="C16" s="109" t="n">
        <x:f>'建模主表'!C16</x:f>
        <x:v>110</x:v>
      </x:c>
      <x:c r="D16" s="109" t="n">
        <x:f>'建模主表'!D16</x:f>
        <x:v>274.2034</x:v>
      </x:c>
      <x:c r="E16" s="109" t="n">
        <x:f>'建模主表'!E16</x:f>
        <x:v>161.9732</x:v>
      </x:c>
      <x:c r="F16" s="109" t="n">
        <x:f>'建模主表'!F16</x:f>
        <x:v>618.1586126895946</x:v>
      </x:c>
    </x:row>
    <x:row r="17">
      <x:c r="A17" s="94" t="n">
        <x:f>'建模主表'!A17</x:f>
        <x:v>2022</x:v>
      </x:c>
      <x:c r="B17" s="109" t="n">
        <x:f>'建模主表'!B17</x:f>
        <x:v>1023.5214367006488</x:v>
      </x:c>
      <x:c r="C17" s="109" t="n">
        <x:f>'建模主表'!C17</x:f>
        <x:v>55.7491</x:v>
      </x:c>
      <x:c r="D17" s="109" t="n">
        <x:f>'建模主表'!D17</x:f>
        <x:v>282.2414</x:v>
      </x:c>
      <x:c r="E17" s="109" t="n">
        <x:f>'建模主表'!E17</x:f>
        <x:v>171.2106</x:v>
      </x:c>
      <x:c r="F17" s="109" t="n">
        <x:f>'建模主表'!F17</x:f>
        <x:v>544.6793589366223</x:v>
      </x:c>
    </x:row>
    <x:row r="18">
      <x:c r="A18" s="94" t="n">
        <x:f>'建模主表'!A18</x:f>
        <x:v>2023</x:v>
      </x:c>
      <x:c r="B18" s="109" t="n">
        <x:f>'建模主表'!B18</x:f>
        <x:v>2363</x:v>
      </x:c>
      <x:c r="C18" s="109" t="n">
        <x:f>'建模主表'!C18</x:f>
        <x:v>191.5</x:v>
      </x:c>
      <x:c r="D18" s="109" t="n">
        <x:f>'建模主表'!D18</x:f>
        <x:v>288.3062</x:v>
      </x:c>
      <x:c r="E18" s="109" t="n">
        <x:f>'建模主表'!E18</x:f>
        <x:v>176.1714</x:v>
      </x:c>
      <x:c r="F18" s="109" t="n">
        <x:f>'建模主表'!F18</x:f>
        <x:v>810.4104951333052</x:v>
      </x:c>
    </x:row>
    <x:row r="19">
      <x:c r="A19" s="94" t="n">
        <x:f>'建模主表'!A19</x:f>
        <x:v>2024</x:v>
      </x:c>
      <x:c r="B19" s="109" t="n">
        <x:f>'建模主表'!B19</x:f>
        <x:v>2643</x:v>
      </x:c>
      <x:c r="C19" s="109" t="n">
        <x:f>'建模主表'!C19</x:f>
        <x:v>221</x:v>
      </x:c>
      <x:c r="D19" s="109" t="n">
        <x:f>'建模主表'!D19</x:f>
        <x:v>298.865</x:v>
      </x:c>
      <x:c r="E19" s="109" t="n">
        <x:f>'建模主表'!E19</x:f>
        <x:v>183.9654</x:v>
      </x:c>
      <x:c r="F19" s="109" t="n">
        <x:f>'建模主表'!F19</x:f>
        <x:v>836.1710177828226</x:v>
      </x:c>
    </x:row>
    <x:row r="20">
      <x:c r="A20" s="95" t="n">
        <x:f>'建模主表'!A20</x:f>
        <x:v>2025</x:v>
      </x:c>
      <x:c r="B20" s="110" t="n">
        <x:f>'建模主表'!B20</x:f>
        <x:v>2691</x:v>
      </x:c>
      <x:c r="C20" s="110" t="n">
        <x:f>'建模主表'!C20</x:f>
        <x:v>214.2509</x:v>
      </x:c>
      <x:c r="D20" s="110" t="n">
        <x:f>'建模主表'!D20</x:f>
        <x:v>311.94</x:v>
      </x:c>
      <x:c r="E20" s="110" t="n">
        <x:f>'建模主表'!E20</x:f>
        <x:v>195.17</x:v>
      </x:c>
      <x:c r="F20" s="110" t="n">
        <x:f>'建模主表'!F20</x:f>
        <x:v>796.1757710888146</x:v>
      </x:c>
    </x:row>
    <x:row r="23">
      <x:c r="A23" s="90" t="str">
        <x:v>年份</x:v>
      </x:c>
      <x:c r="B23" s="91" t="str">
        <x:v>游客量</x:v>
      </x:c>
      <x:c r="C23" s="91" t="str">
        <x:v>旅游综合收入</x:v>
      </x:c>
      <x:c r="D23" s="91" t="str">
        <x:v>GDP</x:v>
      </x:c>
      <x:c r="E23" s="91" t="str">
        <x:v>第三产业增加值</x:v>
      </x:c>
      <x:c r="F23" s="92" t="str">
        <x:v>人均次消费</x:v>
      </x:c>
    </x:row>
    <x:row r="24">
      <x:c r="A24" s="93" t="n">
        <x:v>2011</x:v>
      </x:c>
      <x:c r="B24" s="105" t="n">
        <x:v>25.891128511661687</x:v>
      </x:c>
      <x:c r="C24" s="105" t="n">
        <x:v>25.85106816732403</x:v>
      </x:c>
      <x:c r="D24" s="105" t="n">
        <x:v>14.907913237448955</x:v>
      </x:c>
      <x:c r="E24" s="105" t="n">
        <x:v>7.6223998167971985</x:v>
      </x:c>
      <x:c r="F24" s="105" t="n">
        <x:v>-0.040060344337700116</x:v>
      </x:c>
    </x:row>
    <x:row r="25">
      <x:c r="A25" s="94" t="n">
        <x:v>2012</x:v>
      </x:c>
      <x:c r="B25" s="106" t="n">
        <x:v>4.746292034731692</x:v>
      </x:c>
      <x:c r="C25" s="106" t="n">
        <x:v>12.260232209233246</x:v>
      </x:c>
      <x:c r="D25" s="106" t="n">
        <x:v>15.320779298096188</x:v>
      </x:c>
      <x:c r="E25" s="106" t="n">
        <x:v>13.553591195642856</x:v>
      </x:c>
      <x:c r="F25" s="106" t="n">
        <x:v>7.513940174501599</x:v>
      </x:c>
    </x:row>
    <x:row r="26">
      <x:c r="A26" s="94" t="n">
        <x:v>2013</x:v>
      </x:c>
      <x:c r="B26" s="106" t="n">
        <x:v>11.701113287780096</x:v>
      </x:c>
      <x:c r="C26" s="106" t="n">
        <x:v>19.506058257138427</x:v>
      </x:c>
      <x:c r="D26" s="106" t="n">
        <x:v>8.328830052448577</x:v>
      </x:c>
      <x:c r="E26" s="106" t="n">
        <x:v>9.414316722374405</x:v>
      </x:c>
      <x:c r="F26" s="106" t="n">
        <x:v>7.804944969358285</x:v>
      </x:c>
    </x:row>
    <x:row r="27">
      <x:c r="A27" s="94" t="n">
        <x:v>2014</x:v>
      </x:c>
      <x:c r="B27" s="106" t="n">
        <x:v>18.19353818519094</x:v>
      </x:c>
      <x:c r="C27" s="106" t="n">
        <x:v>22.31435513142097</x:v>
      </x:c>
      <x:c r="D27" s="106" t="n">
        <x:v>10.213286573464586</x:v>
      </x:c>
      <x:c r="E27" s="106" t="n">
        <x:v>10.407847460297326</x:v>
      </x:c>
      <x:c r="F27" s="106" t="n">
        <x:v>4.120816946230033</x:v>
      </x:c>
    </x:row>
    <x:row r="28">
      <x:c r="A28" s="94" t="n">
        <x:v>2015</x:v>
      </x:c>
      <x:c r="B28" s="106" t="n">
        <x:v>15.76868799528528</x:v>
      </x:c>
      <x:c r="C28" s="106" t="n">
        <x:v>17.384692980298233</x:v>
      </x:c>
      <x:c r="D28" s="106" t="n">
        <x:v>10.700061648162595</x:v>
      </x:c>
      <x:c r="E28" s="106" t="n">
        <x:v>15.217920633129722</x:v>
      </x:c>
      <x:c r="F28" s="106" t="n">
        <x:v>1.6160049850129532</x:v>
      </x:c>
    </x:row>
    <x:row r="29">
      <x:c r="A29" s="94" t="n">
        <x:v>2016</x:v>
      </x:c>
      <x:c r="B29" s="106" t="n">
        <x:v>13.7115399622318</x:v>
      </x:c>
      <x:c r="C29" s="106" t="n">
        <x:v>14.609338280209982</x:v>
      </x:c>
      <x:c r="D29" s="106" t="n">
        <x:v>-1.0295041255028892</x:v>
      </x:c>
      <x:c r="E29" s="106" t="n">
        <x:v>-4.523179826372203</x:v>
      </x:c>
      <x:c r="F29" s="106" t="n">
        <x:v>0.8977983179781823</x:v>
      </x:c>
    </x:row>
    <x:row r="30">
      <x:c r="A30" s="94" t="n">
        <x:v>2017</x:v>
      </x:c>
      <x:c r="B30" s="106" t="n">
        <x:v>13.688147950980412</x:v>
      </x:c>
      <x:c r="C30" s="106" t="n">
        <x:v>17.814628538347854</x:v>
      </x:c>
      <x:c r="D30" s="106" t="n">
        <x:v>-5.618797857380287</x:v>
      </x:c>
      <x:c r="E30" s="106" t="n">
        <x:v>-6.819898003334757</x:v>
      </x:c>
      <x:c r="F30" s="106" t="n">
        <x:v>4.126480587367443</x:v>
      </x:c>
    </x:row>
    <x:row r="31">
      <x:c r="A31" s="94" t="n">
        <x:v>2018</x:v>
      </x:c>
      <x:c r="B31" s="106" t="n">
        <x:v>10.619628670522285</x:v>
      </x:c>
      <x:c r="C31" s="106" t="n">
        <x:v>8.829260714567866</x:v>
      </x:c>
      <x:c r="D31" s="106" t="n">
        <x:v>4.34827829352491</x:v>
      </x:c>
      <x:c r="E31" s="106" t="n">
        <x:v>9.361308875616281</x:v>
      </x:c>
      <x:c r="F31" s="106" t="n">
        <x:v>-1.7903679559544194</x:v>
      </x:c>
    </x:row>
    <x:row r="32">
      <x:c r="A32" s="94" t="n">
        <x:v>2019</x:v>
      </x:c>
      <x:c r="B32" s="106" t="n">
        <x:v>5.129329438755015</x:v>
      </x:c>
      <x:c r="C32" s="106" t="n">
        <x:v>15.011841629931943</x:v>
      </x:c>
      <x:c r="D32" s="106" t="n">
        <x:v>-55.263137974920085</x:v>
      </x:c>
      <x:c r="E32" s="106" t="n">
        <x:v>-53.736392687381326</x:v>
      </x:c>
      <x:c r="F32" s="106" t="n">
        <x:v>9.882512191176929</x:v>
      </x:c>
    </x:row>
    <x:row r="33">
      <x:c r="A33" s="94" t="n">
        <x:v>2020</x:v>
      </x:c>
      <x:c r="B33" s="106" t="n">
        <x:v>-14.330989382857151</x:v>
      </x:c>
      <x:c r="C33" s="106" t="n">
        <x:v>-14.330989382857062</x:v>
      </x:c>
      <x:c r="D33" s="106" t="n">
        <x:v>4.76576980711938</x:v>
      </x:c>
      <x:c r="E33" s="106" t="n">
        <x:v>3.325858700197415</x:v>
      </x:c>
      <x:c r="F33" s="106" t="n">
        <x:v>0</x:v>
      </x:c>
    </x:row>
    <x:row r="34">
      <x:c r="A34" s="94" t="n">
        <x:v>2021</x:v>
      </x:c>
      <x:c r="B34" s="106" t="n">
        <x:v>-30.99891439311291</x:v>
      </x:c>
      <x:c r="C34" s="106" t="n">
        <x:v>-26.21552142795931</x:v>
      </x:c>
      <x:c r="D34" s="106" t="n">
        <x:v>17.431368851881945</x:v>
      </x:c>
      <x:c r="E34" s="106" t="n">
        <x:v>13.48485268005808</x:v>
      </x:c>
      <x:c r="F34" s="106" t="n">
        <x:v>4.783392965153599</x:v>
      </x:c>
    </x:row>
    <x:row r="35">
      <x:c r="A35" s="94" t="n">
        <x:v>2022</x:v>
      </x:c>
      <x:c r="B35" s="106" t="n">
        <x:v>-55.30713090167971</x:v>
      </x:c>
      <x:c r="C35" s="106" t="n">
        <x:v>-67.9619099080254</x:v>
      </x:c>
      <x:c r="D35" s="106" t="n">
        <x:v>2.8892566364003613</x:v>
      </x:c>
      <x:c r="E35" s="106" t="n">
        <x:v>5.546348823056313</x:v>
      </x:c>
      <x:c r="F35" s="106" t="n">
        <x:v>-12.654779006345596</x:v>
      </x:c>
    </x:row>
    <x:row r="36">
      <x:c r="A36" s="94" t="n">
        <x:v>2023</x:v>
      </x:c>
      <x:c r="B36" s="106" t="n">
        <x:v>83.66829278001103</x:v>
      </x:c>
      <x:c r="C36" s="106" t="n">
        <x:v>123.40265419085377</x:v>
      </x:c>
      <x:c r="D36" s="106" t="n">
        <x:v>2.1260376665878766</x:v>
      </x:c>
      <x:c r="E36" s="106" t="n">
        <x:v>2.8563007098191484</x:v>
      </x:c>
      <x:c r="F36" s="106" t="n">
        <x:v>39.734361410842745</x:v>
      </x:c>
    </x:row>
    <x:row r="37">
      <x:c r="A37" s="94" t="n">
        <x:v>2024</x:v>
      </x:c>
      <x:c r="B37" s="106" t="n">
        <x:v>11.198263741738135</x:v>
      </x:c>
      <x:c r="C37" s="106" t="n">
        <x:v>14.32748928970522</x:v>
      </x:c>
      <x:c r="D37" s="106" t="n">
        <x:v>3.596885662541993</x:v>
      </x:c>
      <x:c r="E37" s="106" t="n">
        <x:v>4.329031167135877</x:v>
      </x:c>
      <x:c r="F37" s="106" t="n">
        <x:v>3.129225547967085</x:v>
      </x:c>
    </x:row>
    <x:row r="38">
      <x:c r="A38" s="95" t="n">
        <x:v>2025</x:v>
      </x:c>
      <x:c r="B38" s="107" t="n">
        <x:v>1.7998236122616973</x:v>
      </x:c>
      <x:c r="C38" s="107" t="n">
        <x:v>-3.10149433485698</x:v>
      </x:c>
      <x:c r="D38" s="107" t="n">
        <x:v>4.281889520879645</x:v>
      </x:c>
      <x:c r="E38" s="107" t="n">
        <x:v>5.9123277194777835</x:v>
      </x:c>
      <x:c r="F38" s="107" t="n">
        <x:v>-4.901317947118589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225c17eb20dc43b5"/>
  <x:tableParts count="1">
    <x:tablePart xmlns:r="http://schemas.openxmlformats.org/officeDocument/2006/relationships" r:id="R347bc90e6ea8433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4" hidden="0" customWidth="1"/>
    <x:col min="4" max="4" width="34" hidden="0" customWidth="1"/>
    <x:col min="5" max="5" width="34" hidden="0" customWidth="1"/>
    <x:col min="6" max="6" width="42" hidden="0" customWidth="1"/>
    <x:col min="7" max="7" width="28" hidden="0" customWidth="1"/>
  </x:cols>
  <x:sheetData>
    <x:row r="1" ht="36" customHeight="1">
      <x:c r="A1" s="3" t="str">
        <x:v>变量转换公式、适用模型与注意事项</x:v>
      </x:c>
      <x:c r="B1" s="3"/>
      <x:c r="C1" s="3"/>
      <x:c r="D1" s="3"/>
      <x:c r="E1" s="3"/>
      <x:c r="F1" s="3"/>
      <x:c r="G1" s="3"/>
    </x:row>
    <x:row r="2" ht="38" customHeight="1">
      <x:c r="A2" s="78" t="str">
        <x:v>数据文件同时保留原尺度、自然对数、Z-score 和 Min-Max。不要把标准化后的系数直接解释为原单位效应；树模型通常无需标准化。</x:v>
      </x:c>
      <x:c r="B2" s="78"/>
      <x:c r="C2" s="78"/>
      <x:c r="D2" s="78"/>
      <x:c r="E2" s="78"/>
      <x:c r="F2" s="78"/>
      <x:c r="G2" s="78"/>
    </x:row>
    <x:row r="4">
      <x:c r="A4" s="90" t="str">
        <x:v>处理</x:v>
      </x:c>
      <x:c r="B4" s="91" t="str">
        <x:v>公式</x:v>
      </x:c>
      <x:c r="C4" s="91" t="str">
        <x:v>是否采用</x:v>
      </x:c>
      <x:c r="D4" s="91" t="str">
        <x:v>适用模型</x:v>
      </x:c>
      <x:c r="E4" s="91" t="str">
        <x:v>优点</x:v>
      </x:c>
      <x:c r="F4" s="91" t="str">
        <x:v>风险</x:v>
      </x:c>
      <x:c r="G4" s="92" t="str">
        <x:v>本表位置</x:v>
      </x:c>
    </x:row>
    <x:row r="5" ht="70" customHeight="1">
      <x:c r="A5" s="93" t="str">
        <x:v>自然对数</x:v>
      </x:c>
      <x:c r="B5" s="93" t="str">
        <x:v>ln(x)</x:v>
      </x:c>
      <x:c r="C5" s="93" t="str">
        <x:v>采用</x:v>
      </x:c>
      <x:c r="D5" s="93" t="str">
        <x:v>对数线性、弹性、Gompertz/指数增长</x:v>
      </x:c>
      <x:c r="E5" s="93" t="str">
        <x:v>减弱异方差并把乘法关系转为加法</x:v>
      </x:c>
      <x:c r="F5" s="93" t="str">
        <x:v>零值不可直接取对数；本题核心指标均为正</x:v>
      </x:c>
      <x:c r="G5" s="93" t="str">
        <x:v>建模主表 M:N</x:v>
      </x:c>
    </x:row>
    <x:row r="6" ht="70" customHeight="1">
      <x:c r="A6" s="94" t="str">
        <x:v>Z-score</x:v>
      </x:c>
      <x:c r="B6" s="94" t="str">
        <x:v>z=(x-μ)/σ</x:v>
      </x:c>
      <x:c r="C6" s="94" t="str">
        <x:v>采用</x:v>
      </x:c>
      <x:c r="D6" s="94" t="str">
        <x:v>Ridge、Lasso、SVM、PCA、KNN</x:v>
      </x:c>
      <x:c r="E6" s="94" t="str">
        <x:v>消除量纲，便于正则化和距离计算</x:v>
      </x:c>
      <x:c r="F6" s="94" t="str">
        <x:v>均值和标准差必须只在训练折计算，防止泄漏</x:v>
      </x:c>
      <x:c r="G6" s="94" t="str">
        <x:v>建模主表 O:P；CSV含全部核心指标</x:v>
      </x:c>
    </x:row>
    <x:row r="7" ht="70" customHeight="1">
      <x:c r="A7" s="94" t="str">
        <x:v>Min-Max</x:v>
      </x:c>
      <x:c r="B7" s="94" t="str">
        <x:v>x'=(x-min)/(max-min)</x:v>
      </x:c>
      <x:c r="C7" s="94" t="str">
        <x:v>采用</x:v>
      </x:c>
      <x:c r="D7" s="94" t="str">
        <x:v>神经网络、距离模型、可视化评分</x:v>
      </x:c>
      <x:c r="E7" s="94" t="str">
        <x:v>映射到[0,1]，便于比较</x:v>
      </x:c>
      <x:c r="F7" s="94" t="str">
        <x:v>对新极值和异常值敏感；比赛主模型不依赖它</x:v>
      </x:c>
      <x:c r="G7" s="94" t="str">
        <x:v>建模主表 Q:R；CSV含全部核心指标</x:v>
      </x:c>
    </x:row>
    <x:row r="8" ht="70" customHeight="1">
      <x:c r="A8" s="94" t="str">
        <x:v>对数同比</x:v>
      </x:c>
      <x:c r="B8" s="94" t="str">
        <x:v>g_t=ln(x_t/x_{t-1})</x:v>
      </x:c>
      <x:c r="C8" s="94" t="str">
        <x:v>采用</x:v>
      </x:c>
      <x:c r="D8" s="94" t="str">
        <x:v>异常检测、增长率比较</x:v>
      </x:c>
      <x:c r="E8" s="94" t="str">
        <x:v>适合趋势型序列，不会把长期增长直接判异常</x:v>
      </x:c>
      <x:c r="F8" s="94" t="str">
        <x:v>补全值会影响相邻两期，需结合数据角色解读</x:v>
      </x:c>
      <x:c r="G8" s="94" t="str">
        <x:v>建模主表 S:T、异常检测</x:v>
      </x:c>
    </x:row>
    <x:row r="9" ht="70" customHeight="1">
      <x:c r="A9" s="95" t="str">
        <x:v>删除/缩尾</x:v>
      </x:c>
      <x:c r="B9" s="95" t="str">
        <x:v>—</x:v>
      </x:c>
      <x:c r="C9" s="95" t="str">
        <x:v>不采用</x:v>
      </x:c>
      <x:c r="D9" s="95" t="str">
        <x:v>—</x:v>
      </x:c>
      <x:c r="E9" s="95" t="str">
        <x:v>—</x:v>
      </x:c>
      <x:c r="F9" s="95" t="str">
        <x:v>会抹掉疫情冲击与口径断点，损失题目核心信息</x:v>
      </x:c>
      <x:c r="G9" s="95" t="str">
        <x:v>异常值全部保留</x:v>
      </x:c>
    </x:row>
    <x:row r="11">
      <x:c r="A11" s="9" t="str">
        <x:v>建模时的防泄漏规则</x:v>
      </x:c>
      <x:c r="B11" s="9"/>
      <x:c r="C11" s="9"/>
      <x:c r="D11" s="9"/>
      <x:c r="E11" s="9"/>
      <x:c r="F11" s="9"/>
      <x:c r="G11" s="9"/>
    </x:row>
    <x:row r="12">
      <x:c r="A12" s="113" t="str">
        <x:v>滚动回测的每一个训练窗都必须独立计算均值、标准差、最小值和最大值，再转换验证年；不能使用2010—2025全样本统计量回测。工作簿中的全样本转换仅用于探索和论文描述，正式预测脚本应在Pipeline内部拟合转换器。</x:v>
      </x:c>
      <x:c r="B12" s="113"/>
      <x:c r="C12" s="113"/>
      <x:c r="D12" s="113"/>
      <x:c r="E12" s="113"/>
      <x:c r="F12" s="113"/>
      <x:c r="G12" s="113"/>
    </x:row>
    <x:row r="13">
      <x:c r="A13" s="113"/>
      <x:c r="B13" s="113"/>
      <x:c r="C13" s="113"/>
      <x:c r="D13" s="113"/>
      <x:c r="E13" s="113"/>
      <x:c r="F13" s="113"/>
      <x:c r="G13" s="113"/>
    </x:row>
  </x:sheetData>
  <x:mergeCells>
    <x:mergeCell ref="A1:G1"/>
    <x:mergeCell ref="A2:G2"/>
    <x:mergeCell ref="A11:G11"/>
    <x:mergeCell ref="A12:G13"/>
  </x:mergeCells>
  <x:pageMargins left="0.7" right="0.7" top="0.75" bottom="0.75" header="0.3" footer="0.3"/>
  <x:tableParts count="1">
    <x:tablePart xmlns:r="http://schemas.openxmlformats.org/officeDocument/2006/relationships" r:id="R2e1ff36b021642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0" hidden="0" customWidth="1"/>
    <x:col min="3" max="3" width="13" hidden="0" customWidth="1"/>
    <x:col min="4" max="4" width="12" hidden="0" customWidth="1"/>
    <x:col min="5" max="5" width="24" hidden="0" customWidth="1"/>
    <x:col min="6" max="6" width="39" hidden="0" customWidth="1"/>
    <x:col min="7" max="7" width="22" hidden="0" customWidth="1"/>
    <x:col min="8" max="8" width="28" hidden="0" customWidth="1"/>
    <x:col min="9" max="9" width="10" hidden="0" customWidth="1"/>
    <x:col min="10" max="10" width="42" hidden="0" customWidth="1"/>
    <x:col min="11" max="11" width="48" hidden="0" customWidth="1"/>
    <x:col min="12" max="12" width="3" hidden="0" customWidth="1"/>
    <x:col min="13" max="13" width="3" hidden="0" customWidth="1"/>
    <x:col min="14" max="14" width="9" hidden="0" customWidth="1"/>
    <x:col min="15" max="15" width="36" hidden="0" customWidth="1"/>
    <x:col min="16" max="16" width="13" hidden="0" customWidth="1"/>
    <x:col min="17" max="17" width="13" hidden="0" customWidth="1"/>
    <x:col min="18" max="18" width="24" hidden="0" customWidth="1"/>
    <x:col min="19" max="19" width="28" hidden="0" customWidth="1"/>
    <x:col min="20" max="20" width="42" hidden="0" customWidth="1"/>
    <x:col min="21" max="21" width="48" hidden="0" customWidth="1"/>
  </x:cols>
  <x:sheetData>
    <x:row r="1" ht="36" customHeight="1">
      <x:c r="A1" s="3" t="str">
        <x:v>旅游供给与相关解释变量长表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8" customHeight="1">
      <x:c r="A2" s="78" t="str">
        <x:v>左表为住宿供给，右表为宏观/财政/交通变量。限额以上住宿餐饮业与星级饭店口径不得相加；辅助变量不强行填满，以免制造虚假信息。</x:v>
      </x:c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</x:row>
    <x:row r="4">
      <x:c r="A4" s="90" t="str">
        <x:v>年份</x:v>
      </x:c>
      <x:c r="B4" s="91" t="str">
        <x:v>指标</x:v>
      </x:c>
      <x:c r="C4" s="91" t="str">
        <x:v>值</x:v>
      </x:c>
      <x:c r="D4" s="91" t="str">
        <x:v>单位</x:v>
      </x:c>
      <x:c r="E4" s="91" t="str">
        <x:v>状态</x:v>
      </x:c>
      <x:c r="F4" s="91" t="str">
        <x:v>口径</x:v>
      </x:c>
      <x:c r="G4" s="91" t="str">
        <x:v>版本</x:v>
      </x:c>
      <x:c r="H4" s="91" t="str">
        <x:v>来源ID</x:v>
      </x:c>
      <x:c r="I4" s="91" t="str">
        <x:v>证据级</x:v>
      </x:c>
      <x:c r="J4" s="91" t="str">
        <x:v>来源链接</x:v>
      </x:c>
      <x:c r="K4" s="92" t="str">
        <x:v>备注</x:v>
      </x:c>
      <x:c r="N4" s="90" t="str">
        <x:v>年份</x:v>
      </x:c>
      <x:c r="O4" s="91" t="str">
        <x:v>指标</x:v>
      </x:c>
      <x:c r="P4" s="91" t="str">
        <x:v>值</x:v>
      </x:c>
      <x:c r="Q4" s="91" t="str">
        <x:v>单位</x:v>
      </x:c>
      <x:c r="R4" s="91" t="str">
        <x:v>状态</x:v>
      </x:c>
      <x:c r="S4" s="91" t="str">
        <x:v>来源ID</x:v>
      </x:c>
      <x:c r="T4" s="91" t="str">
        <x:v>来源链接</x:v>
      </x:c>
      <x:c r="U4" s="92" t="str">
        <x:v>备注</x:v>
      </x:c>
    </x:row>
    <x:row r="5">
      <x:c r="A5" s="93" t="n">
        <x:v>2012</x:v>
      </x:c>
      <x:c r="B5" s="93" t="str">
        <x:v>guest_rooms</x:v>
      </x:c>
      <x:c r="C5" s="99" t="n">
        <x:v>2587</x:v>
      </x:c>
      <x:c r="D5" s="93" t="str">
        <x:v>count</x:v>
      </x:c>
      <x:c r="E5" s="93" t="str">
        <x:v>observed_yearbook</x:v>
      </x:c>
      <x:c r="F5" s="93" t="str">
        <x:v>above_designated_size_accommodation_and_catering</x:v>
      </x:c>
      <x:c r="G5" s="93" t="str">
        <x:v>jizhou_yearbook_2021</x:v>
      </x:c>
      <x:c r="H5" s="93" t="str">
        <x:v>gov_jz_yearbook_2021</x:v>
      </x:c>
      <x:c r="I5" s="93" t="n">
        <x:v>1</x:v>
      </x:c>
      <x:c r="J5" s="93" t="str">
        <x:v>https://www.tjjz.gov.cn/zwgk/sjfb/tjnb/202211/W020250107625770490134.rar</x:v>
      </x:c>
      <x:c r="K5" s="93" t="str">
        <x:v>限额以上住宿和餐饮业口径；不得代表全区住宿总供给</x:v>
      </x:c>
      <x:c r="N5" s="93" t="n">
        <x:v>2014</x:v>
      </x:c>
      <x:c r="O5" s="93" t="str">
        <x:v>social_retail_sales</x:v>
      </x:c>
      <x:c r="P5" s="99" t="n">
        <x:v>154.22616</x:v>
      </x:c>
      <x:c r="Q5" s="93" t="str">
        <x:v>100m_cny</x:v>
      </x:c>
      <x:c r="R5" s="93" t="str">
        <x:v>observed</x:v>
      </x:c>
      <x:c r="S5" s="93" t="str">
        <x:v>gov_jz_tourism_stats_2014</x:v>
      </x:c>
      <x:c r="T5" s="93" t="str">
        <x:v>https://www.tjjz.gov.cn/zwgk/zfxxgkqjjg/tjj1/fdzdgknr34/tjxx34/202012/t20201227_5212306.html</x:v>
      </x:c>
      <x:c r="U5" s="93" t="str">
        <x:v>原表单位万元后换算</x:v>
      </x:c>
    </x:row>
    <x:row r="6">
      <x:c r="A6" s="94" t="n">
        <x:v>2012</x:v>
      </x:c>
      <x:c r="B6" s="94" t="str">
        <x:v>beds</x:v>
      </x:c>
      <x:c r="C6" s="100" t="n">
        <x:v>5248</x:v>
      </x:c>
      <x:c r="D6" s="94" t="str">
        <x:v>count</x:v>
      </x:c>
      <x:c r="E6" s="94" t="str">
        <x:v>observed_yearbook</x:v>
      </x:c>
      <x:c r="F6" s="94" t="str">
        <x:v>above_designated_size_accommodation_and_catering</x:v>
      </x:c>
      <x:c r="G6" s="94" t="str">
        <x:v>jizhou_yearbook_2021</x:v>
      </x:c>
      <x:c r="H6" s="94" t="str">
        <x:v>gov_jz_yearbook_2021</x:v>
      </x:c>
      <x:c r="I6" s="94" t="n">
        <x:v>1</x:v>
      </x:c>
      <x:c r="J6" s="94" t="str">
        <x:v>https://www.tjjz.gov.cn/zwgk/sjfb/tjnb/202211/W020250107625770490134.rar</x:v>
      </x:c>
      <x:c r="K6" s="94" t="str">
        <x:v>限额以上住宿和餐饮业口径；不得代表全区住宿总供给</x:v>
      </x:c>
      <x:c r="N6" s="94" t="n">
        <x:v>2014</x:v>
      </x:c>
      <x:c r="O6" s="94" t="str">
        <x:v>fixed_asset_investment</x:v>
      </x:c>
      <x:c r="P6" s="100" t="n">
        <x:v>635.2217</x:v>
      </x:c>
      <x:c r="Q6" s="94" t="str">
        <x:v>100m_cny</x:v>
      </x:c>
      <x:c r="R6" s="94" t="str">
        <x:v>observed</x:v>
      </x:c>
      <x:c r="S6" s="94" t="str">
        <x:v>gov_jz_tourism_stats_2014</x:v>
      </x:c>
      <x:c r="T6" s="94" t="str">
        <x:v>https://www.tjjz.gov.cn/zwgk/zfxxgkqjjg/tjj1/fdzdgknr34/tjxx34/202012/t20201227_5212306.html</x:v>
      </x:c>
      <x:c r="U6" s="94" t="str">
        <x:v>采用在地口径</x:v>
      </x:c>
    </x:row>
    <x:row r="7">
      <x:c r="A7" s="94" t="n">
        <x:v>2012</x:v>
      </x:c>
      <x:c r="B7" s="94" t="str">
        <x:v>room_revenue</x:v>
      </x:c>
      <x:c r="C7" s="100" t="n">
        <x:v>8462.8</x:v>
      </x:c>
      <x:c r="D7" s="94" t="str">
        <x:v>10k_cny</x:v>
      </x:c>
      <x:c r="E7" s="94" t="str">
        <x:v>observed_yearbook</x:v>
      </x:c>
      <x:c r="F7" s="94" t="str">
        <x:v>above_designated_size_accommodation_and_catering</x:v>
      </x:c>
      <x:c r="G7" s="94" t="str">
        <x:v>jizhou_yearbook_2021</x:v>
      </x:c>
      <x:c r="H7" s="94" t="str">
        <x:v>gov_jz_yearbook_2021</x:v>
      </x:c>
      <x:c r="I7" s="94" t="n">
        <x:v>1</x:v>
      </x:c>
      <x:c r="J7" s="94" t="str">
        <x:v>https://www.tjjz.gov.cn/zwgk/sjfb/tjnb/202211/W020250107625770490134.rar</x:v>
      </x:c>
      <x:c r="K7" s="94" t="str">
        <x:v>限额以上住宿和餐饮业口径；不得代表全区住宿总供给</x:v>
      </x:c>
      <x:c r="N7" s="94" t="n">
        <x:v>2015</x:v>
      </x:c>
      <x:c r="O7" s="94" t="str">
        <x:v>social_retail_sales</x:v>
      </x:c>
      <x:c r="P7" s="100" t="n">
        <x:v>178.1839</x:v>
      </x:c>
      <x:c r="Q7" s="94" t="str">
        <x:v>100m_cny</x:v>
      </x:c>
      <x:c r="R7" s="94" t="str">
        <x:v>observed</x:v>
      </x:c>
      <x:c r="S7" s="94" t="str">
        <x:v>gov_jz_tourism_stats_2015</x:v>
      </x:c>
      <x:c r="T7" s="94" t="str">
        <x:v>https://www.tjjz.gov.cn/zwgk/zfxxgkqjjg/tjj1/fdzdgknr34/tjxx34/202012/t20201227_5212477.html</x:v>
      </x:c>
      <x:c r="U7" s="94" t="str">
        <x:v>原表单位万元后换算</x:v>
      </x:c>
    </x:row>
    <x:row r="8">
      <x:c r="A8" s="94" t="n">
        <x:v>2013</x:v>
      </x:c>
      <x:c r="B8" s="94" t="str">
        <x:v>guest_rooms</x:v>
      </x:c>
      <x:c r="C8" s="100" t="n">
        <x:v>3624</x:v>
      </x:c>
      <x:c r="D8" s="94" t="str">
        <x:v>count</x:v>
      </x:c>
      <x:c r="E8" s="94" t="str">
        <x:v>observed_yearbook</x:v>
      </x:c>
      <x:c r="F8" s="94" t="str">
        <x:v>above_designated_size_accommodation_and_catering</x:v>
      </x:c>
      <x:c r="G8" s="94" t="str">
        <x:v>jizhou_yearbook_2021</x:v>
      </x:c>
      <x:c r="H8" s="94" t="str">
        <x:v>gov_jz_yearbook_2021</x:v>
      </x:c>
      <x:c r="I8" s="94" t="n">
        <x:v>1</x:v>
      </x:c>
      <x:c r="J8" s="94" t="str">
        <x:v>https://www.tjjz.gov.cn/zwgk/sjfb/tjnb/202211/W020250107625770490134.rar</x:v>
      </x:c>
      <x:c r="K8" s="94" t="str">
        <x:v>限额以上住宿和餐饮业口径；不得代表全区住宿总供给</x:v>
      </x:c>
      <x:c r="N8" s="94" t="n">
        <x:v>2015</x:v>
      </x:c>
      <x:c r="O8" s="94" t="str">
        <x:v>fixed_asset_investment</x:v>
      </x:c>
      <x:c r="P8" s="100" t="n">
        <x:v>713.3068</x:v>
      </x:c>
      <x:c r="Q8" s="94" t="str">
        <x:v>100m_cny</x:v>
      </x:c>
      <x:c r="R8" s="94" t="str">
        <x:v>observed</x:v>
      </x:c>
      <x:c r="S8" s="94" t="str">
        <x:v>gov_jz_tourism_stats_2015</x:v>
      </x:c>
      <x:c r="T8" s="94" t="str">
        <x:v>https://www.tjjz.gov.cn/zwgk/zfxxgkqjjg/tjj1/fdzdgknr34/tjxx34/202012/t20201227_5212477.html</x:v>
      </x:c>
      <x:c r="U8" s="94" t="str">
        <x:v>原表单位万元后换算</x:v>
      </x:c>
    </x:row>
    <x:row r="9">
      <x:c r="A9" s="94" t="n">
        <x:v>2013</x:v>
      </x:c>
      <x:c r="B9" s="94" t="str">
        <x:v>beds</x:v>
      </x:c>
      <x:c r="C9" s="100" t="n">
        <x:v>7350</x:v>
      </x:c>
      <x:c r="D9" s="94" t="str">
        <x:v>count</x:v>
      </x:c>
      <x:c r="E9" s="94" t="str">
        <x:v>observed_yearbook</x:v>
      </x:c>
      <x:c r="F9" s="94" t="str">
        <x:v>above_designated_size_accommodation_and_catering</x:v>
      </x:c>
      <x:c r="G9" s="94" t="str">
        <x:v>jizhou_yearbook_2021</x:v>
      </x:c>
      <x:c r="H9" s="94" t="str">
        <x:v>gov_jz_yearbook_2021</x:v>
      </x:c>
      <x:c r="I9" s="94" t="n">
        <x:v>1</x:v>
      </x:c>
      <x:c r="J9" s="94" t="str">
        <x:v>https://www.tjjz.gov.cn/zwgk/sjfb/tjnb/202211/W020250107625770490134.rar</x:v>
      </x:c>
      <x:c r="K9" s="94" t="str">
        <x:v>限额以上住宿和餐饮业口径；不得代表全区住宿总供给</x:v>
      </x:c>
      <x:c r="N9" s="94" t="n">
        <x:v>2016</x:v>
      </x:c>
      <x:c r="O9" s="94" t="str">
        <x:v>social_retail_sales</x:v>
      </x:c>
      <x:c r="P9" s="100" t="n">
        <x:v>184.3526</x:v>
      </x:c>
      <x:c r="Q9" s="94" t="str">
        <x:v>100m_cny</x:v>
      </x:c>
      <x:c r="R9" s="94" t="str">
        <x:v>observed</x:v>
      </x:c>
      <x:c r="S9" s="94" t="str">
        <x:v>gov_jz_tourism_stats_2016</x:v>
      </x:c>
      <x:c r="T9" s="94" t="str">
        <x:v>https://www.tjjz.gov.cn/zwgk/zfxxgkqjjg/tjj1/fdzdgknr34/tjxx34/202012/t20201227_5212519.html</x:v>
      </x:c>
      <x:c r="U9" s="94" t="str">
        <x:v>原表单位万元后换算</x:v>
      </x:c>
    </x:row>
    <x:row r="10">
      <x:c r="A10" s="94" t="n">
        <x:v>2013</x:v>
      </x:c>
      <x:c r="B10" s="94" t="str">
        <x:v>room_revenue</x:v>
      </x:c>
      <x:c r="C10" s="100" t="n">
        <x:v>12247</x:v>
      </x:c>
      <x:c r="D10" s="94" t="str">
        <x:v>10k_cny</x:v>
      </x:c>
      <x:c r="E10" s="94" t="str">
        <x:v>observed_yearbook</x:v>
      </x:c>
      <x:c r="F10" s="94" t="str">
        <x:v>above_designated_size_accommodation_and_catering</x:v>
      </x:c>
      <x:c r="G10" s="94" t="str">
        <x:v>jizhou_yearbook_2021</x:v>
      </x:c>
      <x:c r="H10" s="94" t="str">
        <x:v>gov_jz_yearbook_2021</x:v>
      </x:c>
      <x:c r="I10" s="94" t="n">
        <x:v>1</x:v>
      </x:c>
      <x:c r="J10" s="94" t="str">
        <x:v>https://www.tjjz.gov.cn/zwgk/sjfb/tjnb/202211/W020250107625770490134.rar</x:v>
      </x:c>
      <x:c r="K10" s="94" t="str">
        <x:v>限额以上住宿和餐饮业口径；不得代表全区住宿总供给</x:v>
      </x:c>
      <x:c r="N10" s="94" t="n">
        <x:v>2016</x:v>
      </x:c>
      <x:c r="O10" s="94" t="str">
        <x:v>fixed_asset_investment</x:v>
      </x:c>
      <x:c r="P10" s="100" t="n">
        <x:v>788.6939</x:v>
      </x:c>
      <x:c r="Q10" s="94" t="str">
        <x:v>100m_cny</x:v>
      </x:c>
      <x:c r="R10" s="94" t="str">
        <x:v>observed</x:v>
      </x:c>
      <x:c r="S10" s="94" t="str">
        <x:v>gov_jz_tourism_stats_2016</x:v>
      </x:c>
      <x:c r="T10" s="94" t="str">
        <x:v>https://www.tjjz.gov.cn/zwgk/zfxxgkqjjg/tjj1/fdzdgknr34/tjxx34/202012/t20201227_5212519.html</x:v>
      </x:c>
      <x:c r="U10" s="94" t="str">
        <x:v>原表单位万元后换算</x:v>
      </x:c>
    </x:row>
    <x:row r="11">
      <x:c r="A11" s="94" t="n">
        <x:v>2014</x:v>
      </x:c>
      <x:c r="B11" s="94" t="str">
        <x:v>guest_rooms</x:v>
      </x:c>
      <x:c r="C11" s="100" t="n">
        <x:v>3739</x:v>
      </x:c>
      <x:c r="D11" s="94" t="str">
        <x:v>count</x:v>
      </x:c>
      <x:c r="E11" s="94" t="str">
        <x:v>observed_yearbook</x:v>
      </x:c>
      <x:c r="F11" s="94" t="str">
        <x:v>above_designated_size_accommodation_and_catering</x:v>
      </x:c>
      <x:c r="G11" s="94" t="str">
        <x:v>jizhou_yearbook_2021</x:v>
      </x:c>
      <x:c r="H11" s="94" t="str">
        <x:v>gov_jz_yearbook_2021</x:v>
      </x:c>
      <x:c r="I11" s="94" t="n">
        <x:v>1</x:v>
      </x:c>
      <x:c r="J11" s="94" t="str">
        <x:v>https://www.tjjz.gov.cn/zwgk/sjfb/tjnb/202211/W020250107625770490134.rar</x:v>
      </x:c>
      <x:c r="K11" s="94" t="str">
        <x:v>限额以上住宿和餐饮业口径；不得代表全区住宿总供给</x:v>
      </x:c>
      <x:c r="N11" s="94" t="n">
        <x:v>2016</x:v>
      </x:c>
      <x:c r="O11" s="94" t="str">
        <x:v>urban_disposable_income</x:v>
      </x:c>
      <x:c r="P11" s="100" t="n">
        <x:v>23042</x:v>
      </x:c>
      <x:c r="Q11" s="94" t="str">
        <x:v>cny_per_person</x:v>
      </x:c>
      <x:c r="R11" s="94" t="str">
        <x:v>observed</x:v>
      </x:c>
      <x:c r="S11" s="94" t="str">
        <x:v>gov_jz_tourism_stats_2016</x:v>
      </x:c>
      <x:c r="T11" s="94" t="str">
        <x:v>https://www.tjjz.gov.cn/zwgk/zfxxgkqjjg/tjj1/fdzdgknr34/tjxx34/202012/t20201227_5212519.html</x:v>
      </x:c>
      <x:c r="U11" s="94"/>
    </x:row>
    <x:row r="12">
      <x:c r="A12" s="94" t="n">
        <x:v>2014</x:v>
      </x:c>
      <x:c r="B12" s="94" t="str">
        <x:v>beds</x:v>
      </x:c>
      <x:c r="C12" s="100" t="n">
        <x:v>7589</x:v>
      </x:c>
      <x:c r="D12" s="94" t="str">
        <x:v>count</x:v>
      </x:c>
      <x:c r="E12" s="94" t="str">
        <x:v>observed_yearbook</x:v>
      </x:c>
      <x:c r="F12" s="94" t="str">
        <x:v>above_designated_size_accommodation_and_catering</x:v>
      </x:c>
      <x:c r="G12" s="94" t="str">
        <x:v>jizhou_yearbook_2021</x:v>
      </x:c>
      <x:c r="H12" s="94" t="str">
        <x:v>gov_jz_yearbook_2021</x:v>
      </x:c>
      <x:c r="I12" s="94" t="n">
        <x:v>1</x:v>
      </x:c>
      <x:c r="J12" s="94" t="str">
        <x:v>https://www.tjjz.gov.cn/zwgk/sjfb/tjnb/202211/W020250107625770490134.rar</x:v>
      </x:c>
      <x:c r="K12" s="94" t="str">
        <x:v>限额以上住宿和餐饮业口径；不得代表全区住宿总供给</x:v>
      </x:c>
      <x:c r="N12" s="94" t="n">
        <x:v>2016</x:v>
      </x:c>
      <x:c r="O12" s="94" t="str">
        <x:v>rural_disposable_income</x:v>
      </x:c>
      <x:c r="P12" s="100" t="n">
        <x:v>19165</x:v>
      </x:c>
      <x:c r="Q12" s="94" t="str">
        <x:v>cny_per_person</x:v>
      </x:c>
      <x:c r="R12" s="94" t="str">
        <x:v>observed</x:v>
      </x:c>
      <x:c r="S12" s="94" t="str">
        <x:v>gov_jz_tourism_stats_2016</x:v>
      </x:c>
      <x:c r="T12" s="94" t="str">
        <x:v>https://www.tjjz.gov.cn/zwgk/zfxxgkqjjg/tjj1/fdzdgknr34/tjxx34/202012/t20201227_5212519.html</x:v>
      </x:c>
      <x:c r="U12" s="94"/>
    </x:row>
    <x:row r="13">
      <x:c r="A13" s="94" t="n">
        <x:v>2014</x:v>
      </x:c>
      <x:c r="B13" s="94" t="str">
        <x:v>room_revenue</x:v>
      </x:c>
      <x:c r="C13" s="100" t="n">
        <x:v>9777.6</x:v>
      </x:c>
      <x:c r="D13" s="94" t="str">
        <x:v>10k_cny</x:v>
      </x:c>
      <x:c r="E13" s="94" t="str">
        <x:v>observed_yearbook</x:v>
      </x:c>
      <x:c r="F13" s="94" t="str">
        <x:v>above_designated_size_accommodation_and_catering</x:v>
      </x:c>
      <x:c r="G13" s="94" t="str">
        <x:v>jizhou_yearbook_2021</x:v>
      </x:c>
      <x:c r="H13" s="94" t="str">
        <x:v>gov_jz_yearbook_2021</x:v>
      </x:c>
      <x:c r="I13" s="94" t="n">
        <x:v>1</x:v>
      </x:c>
      <x:c r="J13" s="94" t="str">
        <x:v>https://www.tjjz.gov.cn/zwgk/sjfb/tjnb/202211/W020250107625770490134.rar</x:v>
      </x:c>
      <x:c r="K13" s="94" t="str">
        <x:v>限额以上住宿和餐饮业口径；不得代表全区住宿总供给</x:v>
      </x:c>
      <x:c r="N13" s="94" t="n">
        <x:v>2017</x:v>
      </x:c>
      <x:c r="O13" s="94" t="str">
        <x:v>social_retail_sales</x:v>
      </x:c>
      <x:c r="P13" s="100" t="n">
        <x:v>188.817</x:v>
      </x:c>
      <x:c r="Q13" s="94" t="str">
        <x:v>100m_cny</x:v>
      </x:c>
      <x:c r="R13" s="94" t="str">
        <x:v>observed</x:v>
      </x:c>
      <x:c r="S13" s="94" t="str">
        <x:v>gov_jz_tourism_stats_2017</x:v>
      </x:c>
      <x:c r="T13" s="94" t="str">
        <x:v>https://www.tjjz.gov.cn/zwgk/zfxxgkqjjg/tjj1/fdzdgknr34/tjxx34/202012/t20201227_5212503.html</x:v>
      </x:c>
      <x:c r="U13" s="94" t="str">
        <x:v>原表单位万元后换算</x:v>
      </x:c>
    </x:row>
    <x:row r="14">
      <x:c r="A14" s="94" t="n">
        <x:v>2015</x:v>
      </x:c>
      <x:c r="B14" s="94" t="str">
        <x:v>guest_rooms</x:v>
      </x:c>
      <x:c r="C14" s="100" t="n">
        <x:v>4008</x:v>
      </x:c>
      <x:c r="D14" s="94" t="str">
        <x:v>count</x:v>
      </x:c>
      <x:c r="E14" s="94" t="str">
        <x:v>observed_yearbook</x:v>
      </x:c>
      <x:c r="F14" s="94" t="str">
        <x:v>above_designated_size_accommodation_and_catering</x:v>
      </x:c>
      <x:c r="G14" s="94" t="str">
        <x:v>jizhou_yearbook_2021</x:v>
      </x:c>
      <x:c r="H14" s="94" t="str">
        <x:v>gov_jz_yearbook_2021</x:v>
      </x:c>
      <x:c r="I14" s="94" t="n">
        <x:v>1</x:v>
      </x:c>
      <x:c r="J14" s="94" t="str">
        <x:v>https://www.tjjz.gov.cn/zwgk/sjfb/tjnb/202211/W020250107625770490134.rar</x:v>
      </x:c>
      <x:c r="K14" s="94" t="str">
        <x:v>限额以上住宿和餐饮业口径；不得代表全区住宿总供给</x:v>
      </x:c>
      <x:c r="N14" s="94" t="n">
        <x:v>2017</x:v>
      </x:c>
      <x:c r="O14" s="94" t="str">
        <x:v>fixed_asset_investment</x:v>
      </x:c>
      <x:c r="P14" s="100" t="n">
        <x:v>758.0224</x:v>
      </x:c>
      <x:c r="Q14" s="94" t="str">
        <x:v>100m_cny</x:v>
      </x:c>
      <x:c r="R14" s="94" t="str">
        <x:v>observed</x:v>
      </x:c>
      <x:c r="S14" s="94" t="str">
        <x:v>gov_jz_tourism_stats_2017</x:v>
      </x:c>
      <x:c r="T14" s="94" t="str">
        <x:v>https://www.tjjz.gov.cn/zwgk/zfxxgkqjjg/tjj1/fdzdgknr34/tjxx34/202012/t20201227_5212503.html</x:v>
      </x:c>
      <x:c r="U14" s="94" t="str">
        <x:v>原表单位万元后换算</x:v>
      </x:c>
    </x:row>
    <x:row r="15">
      <x:c r="A15" s="94" t="n">
        <x:v>2015</x:v>
      </x:c>
      <x:c r="B15" s="94" t="str">
        <x:v>beds</x:v>
      </x:c>
      <x:c r="C15" s="100" t="n">
        <x:v>7936</x:v>
      </x:c>
      <x:c r="D15" s="94" t="str">
        <x:v>count</x:v>
      </x:c>
      <x:c r="E15" s="94" t="str">
        <x:v>observed_yearbook</x:v>
      </x:c>
      <x:c r="F15" s="94" t="str">
        <x:v>above_designated_size_accommodation_and_catering</x:v>
      </x:c>
      <x:c r="G15" s="94" t="str">
        <x:v>jizhou_yearbook_2021</x:v>
      </x:c>
      <x:c r="H15" s="94" t="str">
        <x:v>gov_jz_yearbook_2021</x:v>
      </x:c>
      <x:c r="I15" s="94" t="n">
        <x:v>1</x:v>
      </x:c>
      <x:c r="J15" s="94" t="str">
        <x:v>https://www.tjjz.gov.cn/zwgk/sjfb/tjnb/202211/W020250107625770490134.rar</x:v>
      </x:c>
      <x:c r="K15" s="94" t="str">
        <x:v>限额以上住宿和餐饮业口径；不得代表全区住宿总供给</x:v>
      </x:c>
      <x:c r="N15" s="94" t="n">
        <x:v>2017</x:v>
      </x:c>
      <x:c r="O15" s="94" t="str">
        <x:v>all_resident_disposable_income</x:v>
      </x:c>
      <x:c r="P15" s="100" t="n">
        <x:v>24989</x:v>
      </x:c>
      <x:c r="Q15" s="94" t="str">
        <x:v>cny_per_person</x:v>
      </x:c>
      <x:c r="R15" s="94" t="str">
        <x:v>observed</x:v>
      </x:c>
      <x:c r="S15" s="94" t="str">
        <x:v>gov_jz_tourism_stats_2017</x:v>
      </x:c>
      <x:c r="T15" s="94" t="str">
        <x:v>https://www.tjjz.gov.cn/zwgk/zfxxgkqjjg/tjj1/fdzdgknr34/tjxx34/202012/t20201227_5212503.html</x:v>
      </x:c>
      <x:c r="U15" s="94"/>
    </x:row>
    <x:row r="16">
      <x:c r="A16" s="94" t="n">
        <x:v>2015</x:v>
      </x:c>
      <x:c r="B16" s="94" t="str">
        <x:v>room_revenue</x:v>
      </x:c>
      <x:c r="C16" s="100" t="n">
        <x:v>12642.8</x:v>
      </x:c>
      <x:c r="D16" s="94" t="str">
        <x:v>10k_cny</x:v>
      </x:c>
      <x:c r="E16" s="94" t="str">
        <x:v>observed_yearbook</x:v>
      </x:c>
      <x:c r="F16" s="94" t="str">
        <x:v>above_designated_size_accommodation_and_catering</x:v>
      </x:c>
      <x:c r="G16" s="94" t="str">
        <x:v>jizhou_yearbook_2021</x:v>
      </x:c>
      <x:c r="H16" s="94" t="str">
        <x:v>gov_jz_yearbook_2021</x:v>
      </x:c>
      <x:c r="I16" s="94" t="n">
        <x:v>1</x:v>
      </x:c>
      <x:c r="J16" s="94" t="str">
        <x:v>https://www.tjjz.gov.cn/zwgk/sjfb/tjnb/202211/W020250107625770490134.rar</x:v>
      </x:c>
      <x:c r="K16" s="94" t="str">
        <x:v>限额以上住宿和餐饮业口径；不得代表全区住宿总供给</x:v>
      </x:c>
      <x:c r="N16" s="94" t="n">
        <x:v>2017</x:v>
      </x:c>
      <x:c r="O16" s="94" t="str">
        <x:v>urban_disposable_income</x:v>
      </x:c>
      <x:c r="P16" s="100" t="n">
        <x:v>31182</x:v>
      </x:c>
      <x:c r="Q16" s="94" t="str">
        <x:v>cny_per_person</x:v>
      </x:c>
      <x:c r="R16" s="94" t="str">
        <x:v>observed</x:v>
      </x:c>
      <x:c r="S16" s="94" t="str">
        <x:v>gov_jz_tourism_stats_2017</x:v>
      </x:c>
      <x:c r="T16" s="94" t="str">
        <x:v>https://www.tjjz.gov.cn/zwgk/zfxxgkqjjg/tjj1/fdzdgknr34/tjxx34/202012/t20201227_5212503.html</x:v>
      </x:c>
      <x:c r="U16" s="94"/>
    </x:row>
    <x:row r="17">
      <x:c r="A17" s="94" t="n">
        <x:v>2016</x:v>
      </x:c>
      <x:c r="B17" s="94" t="str">
        <x:v>guest_rooms</x:v>
      </x:c>
      <x:c r="C17" s="100" t="n">
        <x:v>6744</x:v>
      </x:c>
      <x:c r="D17" s="94" t="str">
        <x:v>count</x:v>
      </x:c>
      <x:c r="E17" s="94" t="str">
        <x:v>observed_yearbook</x:v>
      </x:c>
      <x:c r="F17" s="94" t="str">
        <x:v>above_designated_size_accommodation_and_catering</x:v>
      </x:c>
      <x:c r="G17" s="94" t="str">
        <x:v>jizhou_yearbook_2021</x:v>
      </x:c>
      <x:c r="H17" s="94" t="str">
        <x:v>gov_jz_yearbook_2021</x:v>
      </x:c>
      <x:c r="I17" s="94" t="n">
        <x:v>1</x:v>
      </x:c>
      <x:c r="J17" s="94" t="str">
        <x:v>https://www.tjjz.gov.cn/zwgk/sjfb/tjnb/202211/W020250107625770490134.rar</x:v>
      </x:c>
      <x:c r="K17" s="94" t="str">
        <x:v>限额以上住宿和餐饮业口径；2016—2017存在明显名录或范围断点</x:v>
      </x:c>
      <x:c r="N17" s="94" t="n">
        <x:v>2017</x:v>
      </x:c>
      <x:c r="O17" s="94" t="str">
        <x:v>rural_disposable_income</x:v>
      </x:c>
      <x:c r="P17" s="100" t="n">
        <x:v>20774</x:v>
      </x:c>
      <x:c r="Q17" s="94" t="str">
        <x:v>cny_per_person</x:v>
      </x:c>
      <x:c r="R17" s="94" t="str">
        <x:v>observed</x:v>
      </x:c>
      <x:c r="S17" s="94" t="str">
        <x:v>gov_jz_tourism_stats_2017</x:v>
      </x:c>
      <x:c r="T17" s="94" t="str">
        <x:v>https://www.tjjz.gov.cn/zwgk/zfxxgkqjjg/tjj1/fdzdgknr34/tjxx34/202012/t20201227_5212503.html</x:v>
      </x:c>
      <x:c r="U17" s="94"/>
    </x:row>
    <x:row r="18">
      <x:c r="A18" s="94" t="n">
        <x:v>2016</x:v>
      </x:c>
      <x:c r="B18" s="94" t="str">
        <x:v>beds</x:v>
      </x:c>
      <x:c r="C18" s="100" t="n">
        <x:v>16386</x:v>
      </x:c>
      <x:c r="D18" s="94" t="str">
        <x:v>count</x:v>
      </x:c>
      <x:c r="E18" s="94" t="str">
        <x:v>observed_yearbook</x:v>
      </x:c>
      <x:c r="F18" s="94" t="str">
        <x:v>above_designated_size_accommodation_and_catering</x:v>
      </x:c>
      <x:c r="G18" s="94" t="str">
        <x:v>jizhou_yearbook_2021</x:v>
      </x:c>
      <x:c r="H18" s="94" t="str">
        <x:v>gov_jz_yearbook_2021</x:v>
      </x:c>
      <x:c r="I18" s="94" t="n">
        <x:v>1</x:v>
      </x:c>
      <x:c r="J18" s="94" t="str">
        <x:v>https://www.tjjz.gov.cn/zwgk/sjfb/tjnb/202211/W020250107625770490134.rar</x:v>
      </x:c>
      <x:c r="K18" s="94" t="str">
        <x:v>限额以上住宿和餐饮业口径；2016—2017存在明显名录或范围断点</x:v>
      </x:c>
      <x:c r="N18" s="94" t="n">
        <x:v>2019</x:v>
      </x:c>
      <x:c r="O18" s="94" t="str">
        <x:v>all_resident_disposable_income</x:v>
      </x:c>
      <x:c r="P18" s="100" t="n">
        <x:v>28568</x:v>
      </x:c>
      <x:c r="Q18" s="94" t="str">
        <x:v>cny_per_person</x:v>
      </x:c>
      <x:c r="R18" s="94" t="str">
        <x:v>observed</x:v>
      </x:c>
      <x:c r="S18" s="94" t="str">
        <x:v>gov_jz_bulletin_2019</x:v>
      </x:c>
      <x:c r="T18" s="94" t="str">
        <x:v>https://www.tjjz.gov.cn/zwgk/zfxxgkqjjg/tjj1/fdzdgknr34/tjxx34/202107/t20210705_5495855.html</x:v>
      </x:c>
      <x:c r="U18" s="94"/>
    </x:row>
    <x:row r="19">
      <x:c r="A19" s="94" t="n">
        <x:v>2016</x:v>
      </x:c>
      <x:c r="B19" s="94" t="str">
        <x:v>room_revenue</x:v>
      </x:c>
      <x:c r="C19" s="100" t="n">
        <x:v>12261.3</x:v>
      </x:c>
      <x:c r="D19" s="94" t="str">
        <x:v>10k_cny</x:v>
      </x:c>
      <x:c r="E19" s="94" t="str">
        <x:v>observed_yearbook</x:v>
      </x:c>
      <x:c r="F19" s="94" t="str">
        <x:v>above_designated_size_accommodation_and_catering</x:v>
      </x:c>
      <x:c r="G19" s="94" t="str">
        <x:v>jizhou_yearbook_2021</x:v>
      </x:c>
      <x:c r="H19" s="94" t="str">
        <x:v>gov_jz_yearbook_2021</x:v>
      </x:c>
      <x:c r="I19" s="94" t="n">
        <x:v>1</x:v>
      </x:c>
      <x:c r="J19" s="94" t="str">
        <x:v>https://www.tjjz.gov.cn/zwgk/sjfb/tjnb/202211/W020250107625770490134.rar</x:v>
      </x:c>
      <x:c r="K19" s="94" t="str">
        <x:v>限额以上住宿和餐饮业口径；2016—2017存在明显名录或范围断点</x:v>
      </x:c>
      <x:c r="N19" s="94" t="n">
        <x:v>2019</x:v>
      </x:c>
      <x:c r="O19" s="94" t="str">
        <x:v>permanent_population</x:v>
      </x:c>
      <x:c r="P19" s="100" t="n">
        <x:v>89.45</x:v>
      </x:c>
      <x:c r="Q19" s="94" t="str">
        <x:v>10k_persons</x:v>
      </x:c>
      <x:c r="R19" s="94" t="str">
        <x:v>observed</x:v>
      </x:c>
      <x:c r="S19" s="94" t="str">
        <x:v>gov_jz_bulletin_2019</x:v>
      </x:c>
      <x:c r="T19" s="94" t="str">
        <x:v>https://www.tjjz.gov.cn/zwgk/zfxxgkqjjg/tjj1/fdzdgknr34/tjxx34/202107/t20210705_5495855.html</x:v>
      </x:c>
      <x:c r="U19" s="94"/>
    </x:row>
    <x:row r="20">
      <x:c r="A20" s="94" t="n">
        <x:v>2017</x:v>
      </x:c>
      <x:c r="B20" s="94" t="str">
        <x:v>guest_rooms</x:v>
      </x:c>
      <x:c r="C20" s="100" t="n">
        <x:v>1402</x:v>
      </x:c>
      <x:c r="D20" s="94" t="str">
        <x:v>count</x:v>
      </x:c>
      <x:c r="E20" s="94" t="str">
        <x:v>observed_yearbook</x:v>
      </x:c>
      <x:c r="F20" s="94" t="str">
        <x:v>above_designated_size_accommodation_and_catering</x:v>
      </x:c>
      <x:c r="G20" s="94" t="str">
        <x:v>jizhou_yearbook_2021</x:v>
      </x:c>
      <x:c r="H20" s="94" t="str">
        <x:v>gov_jz_yearbook_2021</x:v>
      </x:c>
      <x:c r="I20" s="94" t="n">
        <x:v>1</x:v>
      </x:c>
      <x:c r="J20" s="94" t="str">
        <x:v>https://www.tjjz.gov.cn/zwgk/sjfb/tjnb/202211/W020250107625770490134.rar</x:v>
      </x:c>
      <x:c r="K20" s="94" t="str">
        <x:v>限额以上住宿和餐饮业口径；2016—2017存在明显名录或范围断点</x:v>
      </x:c>
      <x:c r="N20" s="94" t="n">
        <x:v>2019</x:v>
      </x:c>
      <x:c r="O20" s="94" t="str">
        <x:v>road_mileage</x:v>
      </x:c>
      <x:c r="P20" s="100" t="n">
        <x:v>3073</x:v>
      </x:c>
      <x:c r="Q20" s="94" t="str">
        <x:v>km</x:v>
      </x:c>
      <x:c r="R20" s="94" t="str">
        <x:v>observed</x:v>
      </x:c>
      <x:c r="S20" s="94" t="str">
        <x:v>gov_jz_bulletin_2019</x:v>
      </x:c>
      <x:c r="T20" s="94" t="str">
        <x:v>https://www.tjjz.gov.cn/zwgk/zfxxgkqjjg/tjj1/fdzdgknr34/tjxx34/202107/t20210705_5495855.html</x:v>
      </x:c>
      <x:c r="U20" s="94"/>
    </x:row>
    <x:row r="21">
      <x:c r="A21" s="94" t="n">
        <x:v>2017</x:v>
      </x:c>
      <x:c r="B21" s="94" t="str">
        <x:v>beds</x:v>
      </x:c>
      <x:c r="C21" s="100" t="n">
        <x:v>2772</x:v>
      </x:c>
      <x:c r="D21" s="94" t="str">
        <x:v>count</x:v>
      </x:c>
      <x:c r="E21" s="94" t="str">
        <x:v>observed_yearbook</x:v>
      </x:c>
      <x:c r="F21" s="94" t="str">
        <x:v>above_designated_size_accommodation_and_catering</x:v>
      </x:c>
      <x:c r="G21" s="94" t="str">
        <x:v>jizhou_yearbook_2021</x:v>
      </x:c>
      <x:c r="H21" s="94" t="str">
        <x:v>gov_jz_yearbook_2021</x:v>
      </x:c>
      <x:c r="I21" s="94" t="n">
        <x:v>1</x:v>
      </x:c>
      <x:c r="J21" s="94" t="str">
        <x:v>https://www.tjjz.gov.cn/zwgk/sjfb/tjnb/202211/W020250107625770490134.rar</x:v>
      </x:c>
      <x:c r="K21" s="94" t="str">
        <x:v>限额以上住宿和餐饮业口径；2016—2017存在明显名录或范围断点</x:v>
      </x:c>
      <x:c r="N21" s="94" t="n">
        <x:v>2020</x:v>
      </x:c>
      <x:c r="O21" s="94" t="str">
        <x:v>all_resident_disposable_income</x:v>
      </x:c>
      <x:c r="P21" s="100" t="n">
        <x:v>29573</x:v>
      </x:c>
      <x:c r="Q21" s="94" t="str">
        <x:v>cny_per_person</x:v>
      </x:c>
      <x:c r="R21" s="94" t="str">
        <x:v>observed</x:v>
      </x:c>
      <x:c r="S21" s="94" t="str">
        <x:v>gov_jz_bulletin_2020</x:v>
      </x:c>
      <x:c r="T21" s="94" t="str">
        <x:v>https://www.tjjz.gov.cn/zwgk/zfxxgkqjjg/tjj1/fdzdgknr34/tjxx34/202111/t20211115_5703949.html</x:v>
      </x:c>
      <x:c r="U21" s="94"/>
    </x:row>
    <x:row r="22">
      <x:c r="A22" s="94" t="n">
        <x:v>2017</x:v>
      </x:c>
      <x:c r="B22" s="94" t="str">
        <x:v>room_revenue</x:v>
      </x:c>
      <x:c r="C22" s="100" t="n">
        <x:v>5855</x:v>
      </x:c>
      <x:c r="D22" s="94" t="str">
        <x:v>10k_cny</x:v>
      </x:c>
      <x:c r="E22" s="94" t="str">
        <x:v>observed_yearbook</x:v>
      </x:c>
      <x:c r="F22" s="94" t="str">
        <x:v>above_designated_size_accommodation_and_catering</x:v>
      </x:c>
      <x:c r="G22" s="94" t="str">
        <x:v>jizhou_yearbook_2021</x:v>
      </x:c>
      <x:c r="H22" s="94" t="str">
        <x:v>gov_jz_yearbook_2021</x:v>
      </x:c>
      <x:c r="I22" s="94" t="n">
        <x:v>1</x:v>
      </x:c>
      <x:c r="J22" s="94" t="str">
        <x:v>https://www.tjjz.gov.cn/zwgk/sjfb/tjnb/202211/W020250107625770490134.rar</x:v>
      </x:c>
      <x:c r="K22" s="94" t="str">
        <x:v>限额以上住宿和餐饮业口径；2016—2017存在明显名录或范围断点</x:v>
      </x:c>
      <x:c r="N22" s="94" t="n">
        <x:v>2020</x:v>
      </x:c>
      <x:c r="O22" s="94" t="str">
        <x:v>social_retail_sales_yoy</x:v>
      </x:c>
      <x:c r="P22" s="100" t="n">
        <x:v>-19.1</x:v>
      </x:c>
      <x:c r="Q22" s="94" t="str">
        <x:v>percent</x:v>
      </x:c>
      <x:c r="R22" s="94" t="str">
        <x:v>observed</x:v>
      </x:c>
      <x:c r="S22" s="94" t="str">
        <x:v>gov_jz_bulletin_2020</x:v>
      </x:c>
      <x:c r="T22" s="94" t="str">
        <x:v>https://www.tjjz.gov.cn/zwgk/zfxxgkqjjg/tjj1/fdzdgknr34/tjxx34/202111/t20211115_5703949.html</x:v>
      </x:c>
      <x:c r="U22" s="94" t="str">
        <x:v>仅公布同比增速</x:v>
      </x:c>
    </x:row>
    <x:row r="23">
      <x:c r="A23" s="94" t="n">
        <x:v>2018</x:v>
      </x:c>
      <x:c r="B23" s="94" t="str">
        <x:v>guest_rooms</x:v>
      </x:c>
      <x:c r="C23" s="100" t="n">
        <x:v>1402</x:v>
      </x:c>
      <x:c r="D23" s="94" t="str">
        <x:v>count</x:v>
      </x:c>
      <x:c r="E23" s="94" t="str">
        <x:v>observed_yearbook</x:v>
      </x:c>
      <x:c r="F23" s="94" t="str">
        <x:v>above_designated_size_accommodation_and_catering</x:v>
      </x:c>
      <x:c r="G23" s="94" t="str">
        <x:v>jizhou_yearbook_2021</x:v>
      </x:c>
      <x:c r="H23" s="94" t="str">
        <x:v>gov_jz_yearbook_2021</x:v>
      </x:c>
      <x:c r="I23" s="94" t="n">
        <x:v>1</x:v>
      </x:c>
      <x:c r="J23" s="94" t="str">
        <x:v>https://www.tjjz.gov.cn/zwgk/sjfb/tjnb/202211/W020250107625770490134.rar</x:v>
      </x:c>
      <x:c r="K23" s="94" t="str">
        <x:v>限额以上住宿和餐饮业口径；不得代表全区住宿总供给</x:v>
      </x:c>
      <x:c r="N23" s="94" t="n">
        <x:v>2020</x:v>
      </x:c>
      <x:c r="O23" s="94" t="str">
        <x:v>general_public_budget_expenditure</x:v>
      </x:c>
      <x:c r="P23" s="100" t="n">
        <x:v>81.5</x:v>
      </x:c>
      <x:c r="Q23" s="94" t="str">
        <x:v>100m_cny</x:v>
      </x:c>
      <x:c r="R23" s="94" t="str">
        <x:v>observed</x:v>
      </x:c>
      <x:c r="S23" s="94" t="str">
        <x:v>gov_jz_bulletin_2020</x:v>
      </x:c>
      <x:c r="T23" s="94" t="str">
        <x:v>https://www.tjjz.gov.cn/zwgk/zfxxgkqjjg/tjj1/fdzdgknr34/tjxx34/202111/t20211115_5703949.html</x:v>
      </x:c>
      <x:c r="U23" s="94"/>
    </x:row>
    <x:row r="24">
      <x:c r="A24" s="94" t="n">
        <x:v>2018</x:v>
      </x:c>
      <x:c r="B24" s="94" t="str">
        <x:v>beds</x:v>
      </x:c>
      <x:c r="C24" s="100" t="n">
        <x:v>2596</x:v>
      </x:c>
      <x:c r="D24" s="94" t="str">
        <x:v>count</x:v>
      </x:c>
      <x:c r="E24" s="94" t="str">
        <x:v>observed_yearbook</x:v>
      </x:c>
      <x:c r="F24" s="94" t="str">
        <x:v>above_designated_size_accommodation_and_catering</x:v>
      </x:c>
      <x:c r="G24" s="94" t="str">
        <x:v>jizhou_yearbook_2021</x:v>
      </x:c>
      <x:c r="H24" s="94" t="str">
        <x:v>gov_jz_yearbook_2021</x:v>
      </x:c>
      <x:c r="I24" s="94" t="n">
        <x:v>1</x:v>
      </x:c>
      <x:c r="J24" s="94" t="str">
        <x:v>https://www.tjjz.gov.cn/zwgk/sjfb/tjnb/202211/W020250107625770490134.rar</x:v>
      </x:c>
      <x:c r="K24" s="94" t="str">
        <x:v>限额以上住宿和餐饮业口径；不得代表全区住宿总供给</x:v>
      </x:c>
      <x:c r="N24" s="94" t="n">
        <x:v>2020</x:v>
      </x:c>
      <x:c r="O24" s="94" t="str">
        <x:v>road_mileage</x:v>
      </x:c>
      <x:c r="P24" s="100" t="n">
        <x:v>3076</x:v>
      </x:c>
      <x:c r="Q24" s="94" t="str">
        <x:v>km</x:v>
      </x:c>
      <x:c r="R24" s="94" t="str">
        <x:v>observed</x:v>
      </x:c>
      <x:c r="S24" s="94" t="str">
        <x:v>gov_jz_bulletin_2020</x:v>
      </x:c>
      <x:c r="T24" s="94" t="str">
        <x:v>https://www.tjjz.gov.cn/zwgk/zfxxgkqjjg/tjj1/fdzdgknr34/tjxx34/202111/t20211115_5703949.html</x:v>
      </x:c>
      <x:c r="U24" s="94" t="str">
        <x:v>全区境内通车总里程；按公报原值录入</x:v>
      </x:c>
    </x:row>
    <x:row r="25">
      <x:c r="A25" s="94" t="n">
        <x:v>2018</x:v>
      </x:c>
      <x:c r="B25" s="94" t="str">
        <x:v>room_revenue</x:v>
      </x:c>
      <x:c r="C25" s="100" t="n">
        <x:v>6772.3</x:v>
      </x:c>
      <x:c r="D25" s="94" t="str">
        <x:v>10k_cny</x:v>
      </x:c>
      <x:c r="E25" s="94" t="str">
        <x:v>observed_yearbook</x:v>
      </x:c>
      <x:c r="F25" s="94" t="str">
        <x:v>above_designated_size_accommodation_and_catering</x:v>
      </x:c>
      <x:c r="G25" s="94" t="str">
        <x:v>jizhou_yearbook_2021</x:v>
      </x:c>
      <x:c r="H25" s="94" t="str">
        <x:v>gov_jz_yearbook_2021</x:v>
      </x:c>
      <x:c r="I25" s="94" t="n">
        <x:v>1</x:v>
      </x:c>
      <x:c r="J25" s="94" t="str">
        <x:v>https://www.tjjz.gov.cn/zwgk/sjfb/tjnb/202211/W020250107625770490134.rar</x:v>
      </x:c>
      <x:c r="K25" s="94" t="str">
        <x:v>限额以上住宿和餐饮业口径；不得代表全区住宿总供给</x:v>
      </x:c>
      <x:c r="N25" s="94" t="n">
        <x:v>2021</x:v>
      </x:c>
      <x:c r="O25" s="94" t="str">
        <x:v>all_resident_disposable_income</x:v>
      </x:c>
      <x:c r="P25" s="100" t="n">
        <x:v>32008</x:v>
      </x:c>
      <x:c r="Q25" s="94" t="str">
        <x:v>cny_per_person</x:v>
      </x:c>
      <x:c r="R25" s="94" t="str">
        <x:v>observed</x:v>
      </x:c>
      <x:c r="S25" s="94" t="str">
        <x:v>gov_jz_bulletin_2021</x:v>
      </x:c>
      <x:c r="T25" s="94" t="str">
        <x:v>https://www.tjjz.gov.cn/zwgk/sjfb/tjgb/202211/t20221128_6044247.html</x:v>
      </x:c>
      <x:c r="U25" s="94"/>
    </x:row>
    <x:row r="26">
      <x:c r="A26" s="94" t="n">
        <x:v>2019</x:v>
      </x:c>
      <x:c r="B26" s="94" t="str">
        <x:v>guest_rooms</x:v>
      </x:c>
      <x:c r="C26" s="100" t="n">
        <x:v>1391</x:v>
      </x:c>
      <x:c r="D26" s="94" t="str">
        <x:v>count</x:v>
      </x:c>
      <x:c r="E26" s="94" t="str">
        <x:v>observed_yearbook</x:v>
      </x:c>
      <x:c r="F26" s="94" t="str">
        <x:v>above_designated_size_accommodation_and_catering</x:v>
      </x:c>
      <x:c r="G26" s="94" t="str">
        <x:v>jizhou_yearbook_2021</x:v>
      </x:c>
      <x:c r="H26" s="94" t="str">
        <x:v>gov_jz_yearbook_2021</x:v>
      </x:c>
      <x:c r="I26" s="94" t="n">
        <x:v>1</x:v>
      </x:c>
      <x:c r="J26" s="94" t="str">
        <x:v>https://www.tjjz.gov.cn/zwgk/sjfb/tjnb/202211/W020250107625770490134.rar</x:v>
      </x:c>
      <x:c r="K26" s="94" t="str">
        <x:v>限额以上住宿和餐饮业口径；不得代表全区住宿总供给</x:v>
      </x:c>
      <x:c r="N26" s="94" t="n">
        <x:v>2021</x:v>
      </x:c>
      <x:c r="O26" s="94" t="str">
        <x:v>social_retail_sales</x:v>
      </x:c>
      <x:c r="P26" s="100" t="n">
        <x:v>55.45</x:v>
      </x:c>
      <x:c r="Q26" s="94" t="str">
        <x:v>100m_cny</x:v>
      </x:c>
      <x:c r="R26" s="94" t="str">
        <x:v>observed</x:v>
      </x:c>
      <x:c r="S26" s="94" t="str">
        <x:v>gov_jz_bulletin_2021</x:v>
      </x:c>
      <x:c r="T26" s="94" t="str">
        <x:v>https://www.tjjz.gov.cn/zwgk/sjfb/tjgb/202211/t20221128_6044247.html</x:v>
      </x:c>
      <x:c r="U26" s="94" t="str">
        <x:v>与2017年前旧统计表存在范围断点</x:v>
      </x:c>
    </x:row>
    <x:row r="27">
      <x:c r="A27" s="94" t="n">
        <x:v>2019</x:v>
      </x:c>
      <x:c r="B27" s="94" t="str">
        <x:v>beds</x:v>
      </x:c>
      <x:c r="C27" s="100" t="n">
        <x:v>2600</x:v>
      </x:c>
      <x:c r="D27" s="94" t="str">
        <x:v>count</x:v>
      </x:c>
      <x:c r="E27" s="94" t="str">
        <x:v>observed_yearbook</x:v>
      </x:c>
      <x:c r="F27" s="94" t="str">
        <x:v>above_designated_size_accommodation_and_catering</x:v>
      </x:c>
      <x:c r="G27" s="94" t="str">
        <x:v>jizhou_yearbook_2021</x:v>
      </x:c>
      <x:c r="H27" s="94" t="str">
        <x:v>gov_jz_yearbook_2021</x:v>
      </x:c>
      <x:c r="I27" s="94" t="n">
        <x:v>1</x:v>
      </x:c>
      <x:c r="J27" s="94" t="str">
        <x:v>https://www.tjjz.gov.cn/zwgk/sjfb/tjnb/202211/W020250107625770490134.rar</x:v>
      </x:c>
      <x:c r="K27" s="94" t="str">
        <x:v>限额以上住宿和餐饮业口径；不得代表全区住宿总供给</x:v>
      </x:c>
      <x:c r="N27" s="94" t="n">
        <x:v>2021</x:v>
      </x:c>
      <x:c r="O27" s="94" t="str">
        <x:v>general_public_budget_expenditure</x:v>
      </x:c>
      <x:c r="P27" s="100" t="n">
        <x:v>115.12</x:v>
      </x:c>
      <x:c r="Q27" s="94" t="str">
        <x:v>100m_cny</x:v>
      </x:c>
      <x:c r="R27" s="94" t="str">
        <x:v>observed</x:v>
      </x:c>
      <x:c r="S27" s="94" t="str">
        <x:v>gov_jz_bulletin_2021</x:v>
      </x:c>
      <x:c r="T27" s="94" t="str">
        <x:v>https://www.tjjz.gov.cn/zwgk/sjfb/tjgb/202211/t20221128_6044247.html</x:v>
      </x:c>
      <x:c r="U27" s="94"/>
    </x:row>
    <x:row r="28">
      <x:c r="A28" s="94" t="n">
        <x:v>2019</x:v>
      </x:c>
      <x:c r="B28" s="94" t="str">
        <x:v>room_revenue</x:v>
      </x:c>
      <x:c r="C28" s="100" t="n">
        <x:v>6538.4</x:v>
      </x:c>
      <x:c r="D28" s="94" t="str">
        <x:v>10k_cny</x:v>
      </x:c>
      <x:c r="E28" s="94" t="str">
        <x:v>observed_yearbook</x:v>
      </x:c>
      <x:c r="F28" s="94" t="str">
        <x:v>above_designated_size_accommodation_and_catering</x:v>
      </x:c>
      <x:c r="G28" s="94" t="str">
        <x:v>jizhou_yearbook_2021</x:v>
      </x:c>
      <x:c r="H28" s="94" t="str">
        <x:v>gov_jz_yearbook_2021</x:v>
      </x:c>
      <x:c r="I28" s="94" t="n">
        <x:v>1</x:v>
      </x:c>
      <x:c r="J28" s="94" t="str">
        <x:v>https://www.tjjz.gov.cn/zwgk/sjfb/tjnb/202211/W020250107625770490134.rar</x:v>
      </x:c>
      <x:c r="K28" s="94" t="str">
        <x:v>限额以上住宿和餐饮业口径；不得代表全区住宿总供给</x:v>
      </x:c>
      <x:c r="N28" s="94" t="n">
        <x:v>2021</x:v>
      </x:c>
      <x:c r="O28" s="94" t="str">
        <x:v>culture_tourism_sports_media_expenditure</x:v>
      </x:c>
      <x:c r="P28" s="100" t="n">
        <x:v>9979</x:v>
      </x:c>
      <x:c r="Q28" s="94" t="str">
        <x:v>10k_cny</x:v>
      </x:c>
      <x:c r="R28" s="94" t="str">
        <x:v>observed</x:v>
      </x:c>
      <x:c r="S28" s="94" t="str">
        <x:v>gov_jz_yearbook_2021</x:v>
      </x:c>
      <x:c r="T28" s="94" t="str">
        <x:v>https://www.tjjz.gov.cn/zwgk/sjfb/tjnb/202211/W020250107625770490134.rar</x:v>
      </x:c>
      <x:c r="U28" s="94" t="str">
        <x:v>财政功能分类支出；并非全部旅游专项投入</x:v>
      </x:c>
    </x:row>
    <x:row r="29">
      <x:c r="A29" s="94" t="n">
        <x:v>2020</x:v>
      </x:c>
      <x:c r="B29" s="94" t="str">
        <x:v>guest_rooms</x:v>
      </x:c>
      <x:c r="C29" s="100" t="n">
        <x:v>1441</x:v>
      </x:c>
      <x:c r="D29" s="94" t="str">
        <x:v>count</x:v>
      </x:c>
      <x:c r="E29" s="94" t="str">
        <x:v>observed_yearbook</x:v>
      </x:c>
      <x:c r="F29" s="94" t="str">
        <x:v>above_designated_size_accommodation_and_catering</x:v>
      </x:c>
      <x:c r="G29" s="94" t="str">
        <x:v>jizhou_yearbook_2021</x:v>
      </x:c>
      <x:c r="H29" s="94" t="str">
        <x:v>gov_jz_yearbook_2021</x:v>
      </x:c>
      <x:c r="I29" s="94" t="n">
        <x:v>1</x:v>
      </x:c>
      <x:c r="J29" s="94" t="str">
        <x:v>https://www.tjjz.gov.cn/zwgk/sjfb/tjnb/202211/W020250107625770490134.rar</x:v>
      </x:c>
      <x:c r="K29" s="94" t="str">
        <x:v>限额以上住宿和餐饮业口径；不得代表全区住宿总供给</x:v>
      </x:c>
      <x:c r="N29" s="94" t="n">
        <x:v>2021</x:v>
      </x:c>
      <x:c r="O29" s="94" t="str">
        <x:v>road_mileage</x:v>
      </x:c>
      <x:c r="P29" s="100" t="n">
        <x:v>3084</x:v>
      </x:c>
      <x:c r="Q29" s="94" t="str">
        <x:v>km</x:v>
      </x:c>
      <x:c r="R29" s="94" t="str">
        <x:v>observed</x:v>
      </x:c>
      <x:c r="S29" s="94" t="str">
        <x:v>gov_jz_bulletin_2021</x:v>
      </x:c>
      <x:c r="T29" s="94" t="str">
        <x:v>https://www.tjjz.gov.cn/zwgk/sjfb/tjgb/202211/t20221128_6044247.html</x:v>
      </x:c>
      <x:c r="U29" s="94" t="str">
        <x:v>全区境内通车总里程；按公报原值录入</x:v>
      </x:c>
    </x:row>
    <x:row r="30">
      <x:c r="A30" s="94" t="n">
        <x:v>2020</x:v>
      </x:c>
      <x:c r="B30" s="94" t="str">
        <x:v>beds</x:v>
      </x:c>
      <x:c r="C30" s="100" t="n">
        <x:v>2672</x:v>
      </x:c>
      <x:c r="D30" s="94" t="str">
        <x:v>count</x:v>
      </x:c>
      <x:c r="E30" s="94" t="str">
        <x:v>observed_yearbook</x:v>
      </x:c>
      <x:c r="F30" s="94" t="str">
        <x:v>above_designated_size_accommodation_and_catering</x:v>
      </x:c>
      <x:c r="G30" s="94" t="str">
        <x:v>jizhou_yearbook_2021</x:v>
      </x:c>
      <x:c r="H30" s="94" t="str">
        <x:v>gov_jz_yearbook_2021</x:v>
      </x:c>
      <x:c r="I30" s="94" t="n">
        <x:v>1</x:v>
      </x:c>
      <x:c r="J30" s="94" t="str">
        <x:v>https://www.tjjz.gov.cn/zwgk/sjfb/tjnb/202211/W020250107625770490134.rar</x:v>
      </x:c>
      <x:c r="K30" s="94" t="str">
        <x:v>限额以上住宿和餐饮业口径；不得代表全区住宿总供给</x:v>
      </x:c>
      <x:c r="N30" s="94" t="n">
        <x:v>2022</x:v>
      </x:c>
      <x:c r="O30" s="94" t="str">
        <x:v>all_resident_disposable_income</x:v>
      </x:c>
      <x:c r="P30" s="100" t="n">
        <x:v>33073</x:v>
      </x:c>
      <x:c r="Q30" s="94" t="str">
        <x:v>cny_per_person</x:v>
      </x:c>
      <x:c r="R30" s="94" t="str">
        <x:v>observed</x:v>
      </x:c>
      <x:c r="S30" s="94" t="str">
        <x:v>gov_jz_bulletin_2022</x:v>
      </x:c>
      <x:c r="T30" s="94" t="str">
        <x:v>https://www.tjjz.gov.cn/zwgk/sjfb/tjgb/202311/t20231107_6450006.html</x:v>
      </x:c>
      <x:c r="U30" s="94"/>
    </x:row>
    <x:row r="31">
      <x:c r="A31" s="94" t="n">
        <x:v>2020</x:v>
      </x:c>
      <x:c r="B31" s="94" t="str">
        <x:v>room_revenue</x:v>
      </x:c>
      <x:c r="C31" s="100" t="n">
        <x:v>6068</x:v>
      </x:c>
      <x:c r="D31" s="94" t="str">
        <x:v>10k_cny</x:v>
      </x:c>
      <x:c r="E31" s="94" t="str">
        <x:v>observed_yearbook</x:v>
      </x:c>
      <x:c r="F31" s="94" t="str">
        <x:v>above_designated_size_accommodation_and_catering</x:v>
      </x:c>
      <x:c r="G31" s="94" t="str">
        <x:v>jizhou_yearbook_2021</x:v>
      </x:c>
      <x:c r="H31" s="94" t="str">
        <x:v>gov_jz_yearbook_2021</x:v>
      </x:c>
      <x:c r="I31" s="94" t="n">
        <x:v>1</x:v>
      </x:c>
      <x:c r="J31" s="94" t="str">
        <x:v>https://www.tjjz.gov.cn/zwgk/sjfb/tjnb/202211/W020250107625770490134.rar</x:v>
      </x:c>
      <x:c r="K31" s="94" t="str">
        <x:v>限额以上住宿和餐饮业口径；不得代表全区住宿总供给</x:v>
      </x:c>
      <x:c r="N31" s="94" t="n">
        <x:v>2022</x:v>
      </x:c>
      <x:c r="O31" s="94" t="str">
        <x:v>social_retail_sales</x:v>
      </x:c>
      <x:c r="P31" s="100" t="n">
        <x:v>55.58</x:v>
      </x:c>
      <x:c r="Q31" s="94" t="str">
        <x:v>100m_cny</x:v>
      </x:c>
      <x:c r="R31" s="94" t="str">
        <x:v>observed</x:v>
      </x:c>
      <x:c r="S31" s="94" t="str">
        <x:v>gov_jz_bulletin_2022</x:v>
      </x:c>
      <x:c r="T31" s="94" t="str">
        <x:v>https://www.tjjz.gov.cn/zwgk/sjfb/tjgb/202311/t20231107_6450006.html</x:v>
      </x:c>
      <x:c r="U31" s="94"/>
    </x:row>
    <x:row r="32">
      <x:c r="A32" s="94" t="n">
        <x:v>2021</x:v>
      </x:c>
      <x:c r="B32" s="94" t="str">
        <x:v>guest_rooms</x:v>
      </x:c>
      <x:c r="C32" s="100" t="n">
        <x:v>1342</x:v>
      </x:c>
      <x:c r="D32" s="94" t="str">
        <x:v>count</x:v>
      </x:c>
      <x:c r="E32" s="94" t="str">
        <x:v>observed_yearbook</x:v>
      </x:c>
      <x:c r="F32" s="94" t="str">
        <x:v>above_designated_size_accommodation_and_catering</x:v>
      </x:c>
      <x:c r="G32" s="94" t="str">
        <x:v>jizhou_yearbook_2021</x:v>
      </x:c>
      <x:c r="H32" s="94" t="str">
        <x:v>gov_jz_yearbook_2021</x:v>
      </x:c>
      <x:c r="I32" s="94" t="n">
        <x:v>1</x:v>
      </x:c>
      <x:c r="J32" s="94" t="str">
        <x:v>https://www.tjjz.gov.cn/zwgk/sjfb/tjnb/202211/W020250107625770490134.rar</x:v>
      </x:c>
      <x:c r="K32" s="94" t="str">
        <x:v>限额以上住宿和餐饮业口径；不得代表全区住宿总供给</x:v>
      </x:c>
      <x:c r="N32" s="94" t="n">
        <x:v>2022</x:v>
      </x:c>
      <x:c r="O32" s="94" t="str">
        <x:v>general_public_budget_expenditure</x:v>
      </x:c>
      <x:c r="P32" s="100" t="n">
        <x:v>92.8</x:v>
      </x:c>
      <x:c r="Q32" s="94" t="str">
        <x:v>100m_cny</x:v>
      </x:c>
      <x:c r="R32" s="94" t="str">
        <x:v>observed</x:v>
      </x:c>
      <x:c r="S32" s="94" t="str">
        <x:v>gov_jz_bulletin_2022</x:v>
      </x:c>
      <x:c r="T32" s="94" t="str">
        <x:v>https://www.tjjz.gov.cn/zwgk/sjfb/tjgb/202311/t20231107_6450006.html</x:v>
      </x:c>
      <x:c r="U32" s="94"/>
    </x:row>
    <x:row r="33">
      <x:c r="A33" s="94" t="n">
        <x:v>2021</x:v>
      </x:c>
      <x:c r="B33" s="94" t="str">
        <x:v>beds</x:v>
      </x:c>
      <x:c r="C33" s="100" t="n">
        <x:v>2474</x:v>
      </x:c>
      <x:c r="D33" s="94" t="str">
        <x:v>count</x:v>
      </x:c>
      <x:c r="E33" s="94" t="str">
        <x:v>observed_yearbook</x:v>
      </x:c>
      <x:c r="F33" s="94" t="str">
        <x:v>above_designated_size_accommodation_and_catering</x:v>
      </x:c>
      <x:c r="G33" s="94" t="str">
        <x:v>jizhou_yearbook_2021</x:v>
      </x:c>
      <x:c r="H33" s="94" t="str">
        <x:v>gov_jz_yearbook_2021</x:v>
      </x:c>
      <x:c r="I33" s="94" t="n">
        <x:v>1</x:v>
      </x:c>
      <x:c r="J33" s="94" t="str">
        <x:v>https://www.tjjz.gov.cn/zwgk/sjfb/tjnb/202211/W020250107625770490134.rar</x:v>
      </x:c>
      <x:c r="K33" s="94" t="str">
        <x:v>限额以上住宿和餐饮业口径；不得代表全区住宿总供给</x:v>
      </x:c>
      <x:c r="N33" s="94" t="n">
        <x:v>2022</x:v>
      </x:c>
      <x:c r="O33" s="94" t="str">
        <x:v>culture_tourism_sports_media_expenditure</x:v>
      </x:c>
      <x:c r="P33" s="100" t="n">
        <x:v>7445</x:v>
      </x:c>
      <x:c r="Q33" s="94" t="str">
        <x:v>10k_cny</x:v>
      </x:c>
      <x:c r="R33" s="94" t="str">
        <x:v>observed</x:v>
      </x:c>
      <x:c r="S33" s="94" t="str">
        <x:v>gov_jz_yearbook_2022</x:v>
      </x:c>
      <x:c r="T33" s="94" t="str">
        <x:v>https://www.tjjz.gov.cn/zwgk/sjfb/tjnb/202311/W020250107625663560312.pdf</x:v>
      </x:c>
      <x:c r="U33" s="94" t="str">
        <x:v>财政功能分类支出；并非全部旅游专项投入</x:v>
      </x:c>
    </x:row>
    <x:row r="34">
      <x:c r="A34" s="94" t="n">
        <x:v>2021</x:v>
      </x:c>
      <x:c r="B34" s="94" t="str">
        <x:v>room_revenue</x:v>
      </x:c>
      <x:c r="C34" s="100" t="n">
        <x:v>7125.6</x:v>
      </x:c>
      <x:c r="D34" s="94" t="str">
        <x:v>10k_cny</x:v>
      </x:c>
      <x:c r="E34" s="94" t="str">
        <x:v>observed_yearbook</x:v>
      </x:c>
      <x:c r="F34" s="94" t="str">
        <x:v>above_designated_size_accommodation_and_catering</x:v>
      </x:c>
      <x:c r="G34" s="94" t="str">
        <x:v>jizhou_yearbook_2021</x:v>
      </x:c>
      <x:c r="H34" s="94" t="str">
        <x:v>gov_jz_yearbook_2021</x:v>
      </x:c>
      <x:c r="I34" s="94" t="n">
        <x:v>1</x:v>
      </x:c>
      <x:c r="J34" s="94" t="str">
        <x:v>https://www.tjjz.gov.cn/zwgk/sjfb/tjnb/202211/W020250107625770490134.rar</x:v>
      </x:c>
      <x:c r="K34" s="94" t="str">
        <x:v>限额以上住宿和餐饮业口径；不得代表全区住宿总供给</x:v>
      </x:c>
      <x:c r="N34" s="94" t="n">
        <x:v>2022</x:v>
      </x:c>
      <x:c r="O34" s="94" t="str">
        <x:v>road_mileage</x:v>
      </x:c>
      <x:c r="P34" s="100" t="n">
        <x:v>3071</x:v>
      </x:c>
      <x:c r="Q34" s="94" t="str">
        <x:v>km</x:v>
      </x:c>
      <x:c r="R34" s="94" t="str">
        <x:v>observed</x:v>
      </x:c>
      <x:c r="S34" s="94" t="str">
        <x:v>gov_jz_bulletin_2022</x:v>
      </x:c>
      <x:c r="T34" s="94" t="str">
        <x:v>https://www.tjjz.gov.cn/zwgk/sjfb/tjgb/202311/t20231107_6450006.html</x:v>
      </x:c>
      <x:c r="U34" s="94" t="str">
        <x:v>全区境内通车总里程；按公报原值录入</x:v>
      </x:c>
    </x:row>
    <x:row r="35">
      <x:c r="A35" s="94" t="n">
        <x:v>2022</x:v>
      </x:c>
      <x:c r="B35" s="94" t="str">
        <x:v>guest_rooms</x:v>
      </x:c>
      <x:c r="C35" s="100" t="n">
        <x:v>1085</x:v>
      </x:c>
      <x:c r="D35" s="94" t="str">
        <x:v>count</x:v>
      </x:c>
      <x:c r="E35" s="94" t="str">
        <x:v>observed_yearbook</x:v>
      </x:c>
      <x:c r="F35" s="94" t="str">
        <x:v>above_designated_size_accommodation_and_catering</x:v>
      </x:c>
      <x:c r="G35" s="94" t="str">
        <x:v>jizhou_yearbook_2022</x:v>
      </x:c>
      <x:c r="H35" s="94" t="str">
        <x:v>gov_jz_yearbook_2022</x:v>
      </x:c>
      <x:c r="I35" s="94" t="n">
        <x:v>1</x:v>
      </x:c>
      <x:c r="J35" s="94" t="str">
        <x:v>https://www.tjjz.gov.cn/zwgk/sjfb/tjnb/202311/W020250107625663560312.pdf</x:v>
      </x:c>
      <x:c r="K35" s="94" t="str">
        <x:v>限额以上住宿和餐饮业口径；不得代表全区住宿总供给</x:v>
      </x:c>
      <x:c r="N35" s="94" t="n">
        <x:v>2023</x:v>
      </x:c>
      <x:c r="O35" s="94" t="str">
        <x:v>all_resident_disposable_income</x:v>
      </x:c>
      <x:c r="P35" s="100" t="n">
        <x:v>35116</x:v>
      </x:c>
      <x:c r="Q35" s="94" t="str">
        <x:v>cny_per_person</x:v>
      </x:c>
      <x:c r="R35" s="94" t="str">
        <x:v>observed</x:v>
      </x:c>
      <x:c r="S35" s="94" t="str">
        <x:v>gov_jz_bulletin_2023</x:v>
      </x:c>
      <x:c r="T35" s="94" t="str">
        <x:v>https://www.tjjz.gov.cn/zwgk/zfxxgkqjjg/tjj1/fdzdgknr34/tjxx34/202406/t20240627_6662772.html</x:v>
      </x:c>
      <x:c r="U35" s="94"/>
    </x:row>
    <x:row r="36">
      <x:c r="A36" s="94" t="n">
        <x:v>2022</x:v>
      </x:c>
      <x:c r="B36" s="94" t="str">
        <x:v>beds</x:v>
      </x:c>
      <x:c r="C36" s="100" t="n">
        <x:v>1934</x:v>
      </x:c>
      <x:c r="D36" s="94" t="str">
        <x:v>count</x:v>
      </x:c>
      <x:c r="E36" s="94" t="str">
        <x:v>observed_yearbook</x:v>
      </x:c>
      <x:c r="F36" s="94" t="str">
        <x:v>above_designated_size_accommodation_and_catering</x:v>
      </x:c>
      <x:c r="G36" s="94" t="str">
        <x:v>jizhou_yearbook_2022</x:v>
      </x:c>
      <x:c r="H36" s="94" t="str">
        <x:v>gov_jz_yearbook_2022</x:v>
      </x:c>
      <x:c r="I36" s="94" t="n">
        <x:v>1</x:v>
      </x:c>
      <x:c r="J36" s="94" t="str">
        <x:v>https://www.tjjz.gov.cn/zwgk/sjfb/tjnb/202311/W020250107625663560312.pdf</x:v>
      </x:c>
      <x:c r="K36" s="94" t="str">
        <x:v>限额以上住宿和餐饮业口径；不得代表全区住宿总供给</x:v>
      </x:c>
      <x:c r="N36" s="94" t="n">
        <x:v>2023</x:v>
      </x:c>
      <x:c r="O36" s="94" t="str">
        <x:v>social_retail_sales</x:v>
      </x:c>
      <x:c r="P36" s="100" t="n">
        <x:v>57.71</x:v>
      </x:c>
      <x:c r="Q36" s="94" t="str">
        <x:v>100m_cny</x:v>
      </x:c>
      <x:c r="R36" s="94" t="str">
        <x:v>observed</x:v>
      </x:c>
      <x:c r="S36" s="94" t="str">
        <x:v>gov_jz_bulletin_2023</x:v>
      </x:c>
      <x:c r="T36" s="94" t="str">
        <x:v>https://www.tjjz.gov.cn/zwgk/zfxxgkqjjg/tjj1/fdzdgknr34/tjxx34/202406/t20240627_6662772.html</x:v>
      </x:c>
      <x:c r="U36" s="94"/>
    </x:row>
    <x:row r="37">
      <x:c r="A37" s="94" t="n">
        <x:v>2022</x:v>
      </x:c>
      <x:c r="B37" s="94" t="str">
        <x:v>room_revenue</x:v>
      </x:c>
      <x:c r="C37" s="100" t="n">
        <x:v>4632</x:v>
      </x:c>
      <x:c r="D37" s="94" t="str">
        <x:v>10k_cny</x:v>
      </x:c>
      <x:c r="E37" s="94" t="str">
        <x:v>observed_yearbook</x:v>
      </x:c>
      <x:c r="F37" s="94" t="str">
        <x:v>above_designated_size_accommodation_and_catering</x:v>
      </x:c>
      <x:c r="G37" s="94" t="str">
        <x:v>jizhou_yearbook_2022</x:v>
      </x:c>
      <x:c r="H37" s="94" t="str">
        <x:v>gov_jz_yearbook_2022</x:v>
      </x:c>
      <x:c r="I37" s="94" t="n">
        <x:v>1</x:v>
      </x:c>
      <x:c r="J37" s="94" t="str">
        <x:v>https://www.tjjz.gov.cn/zwgk/sjfb/tjnb/202311/W020250107625663560312.pdf</x:v>
      </x:c>
      <x:c r="K37" s="94" t="str">
        <x:v>限额以上住宿和餐饮业口径；不得代表全区住宿总供给</x:v>
      </x:c>
      <x:c r="N37" s="94" t="n">
        <x:v>2023</x:v>
      </x:c>
      <x:c r="O37" s="94" t="str">
        <x:v>general_public_budget_expenditure</x:v>
      </x:c>
      <x:c r="P37" s="100" t="n">
        <x:v>78.89</x:v>
      </x:c>
      <x:c r="Q37" s="94" t="str">
        <x:v>100m_cny</x:v>
      </x:c>
      <x:c r="R37" s="94" t="str">
        <x:v>observed</x:v>
      </x:c>
      <x:c r="S37" s="94" t="str">
        <x:v>gov_jz_bulletin_2023</x:v>
      </x:c>
      <x:c r="T37" s="94" t="str">
        <x:v>https://www.tjjz.gov.cn/zwgk/zfxxgkqjjg/tjj1/fdzdgknr34/tjxx34/202406/t20240627_6662772.html</x:v>
      </x:c>
      <x:c r="U37" s="94"/>
    </x:row>
    <x:row r="38">
      <x:c r="A38" s="94" t="n">
        <x:v>2023</x:v>
      </x:c>
      <x:c r="B38" s="94" t="str">
        <x:v>guest_rooms</x:v>
      </x:c>
      <x:c r="C38" s="100" t="n">
        <x:v>1361</x:v>
      </x:c>
      <x:c r="D38" s="94" t="str">
        <x:v>count</x:v>
      </x:c>
      <x:c r="E38" s="94" t="str">
        <x:v>observed_yearbook</x:v>
      </x:c>
      <x:c r="F38" s="94" t="str">
        <x:v>above_designated_size_accommodation_and_catering</x:v>
      </x:c>
      <x:c r="G38" s="94" t="str">
        <x:v>jizhou_yearbook_2023</x:v>
      </x:c>
      <x:c r="H38" s="94" t="str">
        <x:v>gov_jz_yearbook_2023</x:v>
      </x:c>
      <x:c r="I38" s="94" t="n">
        <x:v>1</x:v>
      </x:c>
      <x:c r="J38" s="94" t="str">
        <x:v>https://www.tjjz.gov.cn/zwgk/sjfb/tjnb/202501/W020250103638170510358.pdf</x:v>
      </x:c>
      <x:c r="K38" s="94" t="str">
        <x:v>限额以上住宿和餐饮业口径；不得代表全区住宿总供给</x:v>
      </x:c>
      <x:c r="N38" s="94" t="n">
        <x:v>2023</x:v>
      </x:c>
      <x:c r="O38" s="94" t="str">
        <x:v>culture_tourism_sports_media_expenditure</x:v>
      </x:c>
      <x:c r="P38" s="100" t="n">
        <x:v>5677</x:v>
      </x:c>
      <x:c r="Q38" s="94" t="str">
        <x:v>10k_cny</x:v>
      </x:c>
      <x:c r="R38" s="94" t="str">
        <x:v>observed</x:v>
      </x:c>
      <x:c r="S38" s="94" t="str">
        <x:v>gov_jz_yearbook_2023</x:v>
      </x:c>
      <x:c r="T38" s="94" t="str">
        <x:v>https://www.tjjz.gov.cn/zwgk/sjfb/tjnb/202501/W020250103638170510358.pdf</x:v>
      </x:c>
      <x:c r="U38" s="94" t="str">
        <x:v>财政功能分类支出；并非全部旅游专项投入</x:v>
      </x:c>
    </x:row>
    <x:row r="39">
      <x:c r="A39" s="94" t="n">
        <x:v>2023</x:v>
      </x:c>
      <x:c r="B39" s="94" t="str">
        <x:v>beds</x:v>
      </x:c>
      <x:c r="C39" s="100" t="n">
        <x:v>2292</x:v>
      </x:c>
      <x:c r="D39" s="94" t="str">
        <x:v>count</x:v>
      </x:c>
      <x:c r="E39" s="94" t="str">
        <x:v>observed_yearbook</x:v>
      </x:c>
      <x:c r="F39" s="94" t="str">
        <x:v>above_designated_size_accommodation_and_catering</x:v>
      </x:c>
      <x:c r="G39" s="94" t="str">
        <x:v>jizhou_yearbook_2023</x:v>
      </x:c>
      <x:c r="H39" s="94" t="str">
        <x:v>gov_jz_yearbook_2023</x:v>
      </x:c>
      <x:c r="I39" s="94" t="n">
        <x:v>1</x:v>
      </x:c>
      <x:c r="J39" s="94" t="str">
        <x:v>https://www.tjjz.gov.cn/zwgk/sjfb/tjnb/202501/W020250103638170510358.pdf</x:v>
      </x:c>
      <x:c r="K39" s="94" t="str">
        <x:v>限额以上住宿和餐饮业口径；不得代表全区住宿总供给</x:v>
      </x:c>
      <x:c r="N39" s="94" t="n">
        <x:v>2023</x:v>
      </x:c>
      <x:c r="O39" s="94" t="str">
        <x:v>road_mileage</x:v>
      </x:c>
      <x:c r="P39" s="100" t="n">
        <x:v>3071</x:v>
      </x:c>
      <x:c r="Q39" s="94" t="str">
        <x:v>km</x:v>
      </x:c>
      <x:c r="R39" s="94" t="str">
        <x:v>observed</x:v>
      </x:c>
      <x:c r="S39" s="94" t="str">
        <x:v>gov_jz_bulletin_2023</x:v>
      </x:c>
      <x:c r="T39" s="94" t="str">
        <x:v>https://www.tjjz.gov.cn/zwgk/zfxxgkqjjg/tjj1/fdzdgknr34/tjxx34/202406/t20240627_6662772.html</x:v>
      </x:c>
      <x:c r="U39" s="94" t="str">
        <x:v>全区境内通车总里程；按公报原值录入</x:v>
      </x:c>
    </x:row>
    <x:row r="40">
      <x:c r="A40" s="94" t="n">
        <x:v>2023</x:v>
      </x:c>
      <x:c r="B40" s="94" t="str">
        <x:v>room_revenue</x:v>
      </x:c>
      <x:c r="C40" s="100" t="n">
        <x:v>7053</x:v>
      </x:c>
      <x:c r="D40" s="94" t="str">
        <x:v>10k_cny</x:v>
      </x:c>
      <x:c r="E40" s="94" t="str">
        <x:v>observed_yearbook</x:v>
      </x:c>
      <x:c r="F40" s="94" t="str">
        <x:v>above_designated_size_accommodation_and_catering</x:v>
      </x:c>
      <x:c r="G40" s="94" t="str">
        <x:v>jizhou_yearbook_2023</x:v>
      </x:c>
      <x:c r="H40" s="94" t="str">
        <x:v>gov_jz_yearbook_2023</x:v>
      </x:c>
      <x:c r="I40" s="94" t="n">
        <x:v>1</x:v>
      </x:c>
      <x:c r="J40" s="94" t="str">
        <x:v>https://www.tjjz.gov.cn/zwgk/sjfb/tjnb/202501/W020250103638170510358.pdf</x:v>
      </x:c>
      <x:c r="K40" s="94" t="str">
        <x:v>限额以上住宿和餐饮业口径；不得代表全区住宿总供给</x:v>
      </x:c>
      <x:c r="N40" s="94" t="n">
        <x:v>2024</x:v>
      </x:c>
      <x:c r="O40" s="94" t="str">
        <x:v>all_resident_disposable_income</x:v>
      </x:c>
      <x:c r="P40" s="100" t="n">
        <x:v>36998</x:v>
      </x:c>
      <x:c r="Q40" s="94" t="str">
        <x:v>cny_per_person</x:v>
      </x:c>
      <x:c r="R40" s="94" t="str">
        <x:v>observed</x:v>
      </x:c>
      <x:c r="S40" s="94" t="str">
        <x:v>gov_jz_bulletin_2024</x:v>
      </x:c>
      <x:c r="T40" s="94" t="str">
        <x:v>https://www.tjjz.gov.cn/zwgk/sjfb/tjgb/202506/t20250630_6969506.html</x:v>
      </x:c>
      <x:c r="U40" s="94"/>
    </x:row>
    <x:row r="41">
      <x:c r="A41" s="94" t="n">
        <x:v>2024</x:v>
      </x:c>
      <x:c r="B41" s="94" t="str">
        <x:v>guest_rooms</x:v>
      </x:c>
      <x:c r="C41" s="100" t="n">
        <x:v>2178</x:v>
      </x:c>
      <x:c r="D41" s="94" t="str">
        <x:v>count</x:v>
      </x:c>
      <x:c r="E41" s="94" t="str">
        <x:v>observed_yearbook</x:v>
      </x:c>
      <x:c r="F41" s="94" t="str">
        <x:v>above_designated_size_accommodation_and_catering</x:v>
      </x:c>
      <x:c r="G41" s="94" t="str">
        <x:v>jizhou_yearbook_2024</x:v>
      </x:c>
      <x:c r="H41" s="94" t="str">
        <x:v>gov_jz_yearbook_2024</x:v>
      </x:c>
      <x:c r="I41" s="94" t="n">
        <x:v>1</x:v>
      </x:c>
      <x:c r="J41" s="94" t="str">
        <x:v>https://www.tjjz.gov.cn/zwgk/sjfb/tjnb/202511/W020251126560102082891.pdf</x:v>
      </x:c>
      <x:c r="K41" s="94" t="str">
        <x:v>限额以上住宿和餐饮业口径；不得代表全区住宿总供给</x:v>
      </x:c>
      <x:c r="N41" s="94" t="n">
        <x:v>2024</x:v>
      </x:c>
      <x:c r="O41" s="94" t="str">
        <x:v>social_retail_sales</x:v>
      </x:c>
      <x:c r="P41" s="100" t="n">
        <x:v>58.88</x:v>
      </x:c>
      <x:c r="Q41" s="94" t="str">
        <x:v>100m_cny</x:v>
      </x:c>
      <x:c r="R41" s="94" t="str">
        <x:v>observed</x:v>
      </x:c>
      <x:c r="S41" s="94" t="str">
        <x:v>gov_jz_bulletin_2024</x:v>
      </x:c>
      <x:c r="T41" s="94" t="str">
        <x:v>https://www.tjjz.gov.cn/zwgk/sjfb/tjgb/202506/t20250630_6969506.html</x:v>
      </x:c>
      <x:c r="U41" s="94"/>
    </x:row>
    <x:row r="42">
      <x:c r="A42" s="94" t="n">
        <x:v>2024</x:v>
      </x:c>
      <x:c r="B42" s="94" t="str">
        <x:v>beds</x:v>
      </x:c>
      <x:c r="C42" s="100" t="n">
        <x:v>3673</x:v>
      </x:c>
      <x:c r="D42" s="94" t="str">
        <x:v>count</x:v>
      </x:c>
      <x:c r="E42" s="94" t="str">
        <x:v>observed_yearbook</x:v>
      </x:c>
      <x:c r="F42" s="94" t="str">
        <x:v>above_designated_size_accommodation_and_catering</x:v>
      </x:c>
      <x:c r="G42" s="94" t="str">
        <x:v>jizhou_yearbook_2024</x:v>
      </x:c>
      <x:c r="H42" s="94" t="str">
        <x:v>gov_jz_yearbook_2024</x:v>
      </x:c>
      <x:c r="I42" s="94" t="n">
        <x:v>1</x:v>
      </x:c>
      <x:c r="J42" s="94" t="str">
        <x:v>https://www.tjjz.gov.cn/zwgk/sjfb/tjnb/202511/W020251126560102082891.pdf</x:v>
      </x:c>
      <x:c r="K42" s="94" t="str">
        <x:v>限额以上住宿和餐饮业口径；不得代表全区住宿总供给</x:v>
      </x:c>
      <x:c r="N42" s="94" t="n">
        <x:v>2024</x:v>
      </x:c>
      <x:c r="O42" s="94" t="str">
        <x:v>general_public_budget_expenditure</x:v>
      </x:c>
      <x:c r="P42" s="100" t="n">
        <x:v>74.2</x:v>
      </x:c>
      <x:c r="Q42" s="94" t="str">
        <x:v>100m_cny</x:v>
      </x:c>
      <x:c r="R42" s="94" t="str">
        <x:v>observed</x:v>
      </x:c>
      <x:c r="S42" s="94" t="str">
        <x:v>gov_jz_bulletin_2024</x:v>
      </x:c>
      <x:c r="T42" s="94" t="str">
        <x:v>https://www.tjjz.gov.cn/zwgk/sjfb/tjgb/202506/t20250630_6969506.html</x:v>
      </x:c>
      <x:c r="U42" s="94"/>
    </x:row>
    <x:row r="43">
      <x:c r="A43" s="94" t="n">
        <x:v>2024</x:v>
      </x:c>
      <x:c r="B43" s="94" t="str">
        <x:v>room_revenue</x:v>
      </x:c>
      <x:c r="C43" s="100" t="n">
        <x:v>7312</x:v>
      </x:c>
      <x:c r="D43" s="94" t="str">
        <x:v>10k_cny</x:v>
      </x:c>
      <x:c r="E43" s="94" t="str">
        <x:v>observed_yearbook</x:v>
      </x:c>
      <x:c r="F43" s="94" t="str">
        <x:v>above_designated_size_accommodation_and_catering</x:v>
      </x:c>
      <x:c r="G43" s="94" t="str">
        <x:v>jizhou_yearbook_2024</x:v>
      </x:c>
      <x:c r="H43" s="94" t="str">
        <x:v>gov_jz_yearbook_2024</x:v>
      </x:c>
      <x:c r="I43" s="94" t="n">
        <x:v>1</x:v>
      </x:c>
      <x:c r="J43" s="94" t="str">
        <x:v>https://www.tjjz.gov.cn/zwgk/sjfb/tjnb/202511/W020251126560102082891.pdf</x:v>
      </x:c>
      <x:c r="K43" s="94" t="str">
        <x:v>限额以上住宿和餐饮业口径；不得代表全区住宿总供给</x:v>
      </x:c>
      <x:c r="N43" s="94" t="n">
        <x:v>2024</x:v>
      </x:c>
      <x:c r="O43" s="94" t="str">
        <x:v>culture_tourism_sports_media_expenditure</x:v>
      </x:c>
      <x:c r="P43" s="100" t="n">
        <x:v>5110</x:v>
      </x:c>
      <x:c r="Q43" s="94" t="str">
        <x:v>10k_cny</x:v>
      </x:c>
      <x:c r="R43" s="94" t="str">
        <x:v>observed</x:v>
      </x:c>
      <x:c r="S43" s="94" t="str">
        <x:v>gov_jz_yearbook_2024</x:v>
      </x:c>
      <x:c r="T43" s="94" t="str">
        <x:v>https://www.tjjz.gov.cn/zwgk/sjfb/tjnb/202511/W020251126560102082891.pdf</x:v>
      </x:c>
      <x:c r="U43" s="94" t="str">
        <x:v>财政功能分类支出；并非全部旅游专项投入</x:v>
      </x:c>
    </x:row>
    <x:row r="44">
      <x:c r="A44" s="94" t="n">
        <x:v>2024</x:v>
      </x:c>
      <x:c r="B44" s="94" t="str">
        <x:v>guest_rooms</x:v>
      </x:c>
      <x:c r="C44" s="100" t="n">
        <x:v>170</x:v>
      </x:c>
      <x:c r="D44" s="94" t="str">
        <x:v>count</x:v>
      </x:c>
      <x:c r="E44" s="94" t="str">
        <x:v>observed_yearbook</x:v>
      </x:c>
      <x:c r="F44" s="94" t="str">
        <x:v>star_rated_hotels</x:v>
      </x:c>
      <x:c r="G44" s="94" t="str">
        <x:v>tianjin_culture_tourism_2024</x:v>
      </x:c>
      <x:c r="H44" s="94" t="str">
        <x:v>gov_tj_whly_star_hotels_2024</x:v>
      </x:c>
      <x:c r="I44" s="94" t="n">
        <x:v>1</x:v>
      </x:c>
      <x:c r="J44" s="94" t="str">
        <x:v>https://whly.tj.gov.cn/ZWGKYXXGK1640/ZFXXGK5456_1/FDZDGKNR5153/TJXX3610/202509/W020250912551107590041.xls</x:v>
      </x:c>
      <x:c r="K44" s="94" t="str">
        <x:v>蓟州星级饭店分区表；该年数值均列五星级栏；不得与限上系列相加</x:v>
      </x:c>
      <x:c r="N44" s="94" t="n">
        <x:v>2024</x:v>
      </x:c>
      <x:c r="O44" s="94" t="str">
        <x:v>road_mileage</x:v>
      </x:c>
      <x:c r="P44" s="100" t="n">
        <x:v>3073</x:v>
      </x:c>
      <x:c r="Q44" s="94" t="str">
        <x:v>km</x:v>
      </x:c>
      <x:c r="R44" s="94" t="str">
        <x:v>observed</x:v>
      </x:c>
      <x:c r="S44" s="94" t="str">
        <x:v>gov_jz_bulletin_2024</x:v>
      </x:c>
      <x:c r="T44" s="94" t="str">
        <x:v>https://www.tjjz.gov.cn/zwgk/sjfb/tjgb/202506/t20250630_6969506.html</x:v>
      </x:c>
      <x:c r="U44" s="94" t="str">
        <x:v>全区境内通车总里程；按公报原值录入</x:v>
      </x:c>
    </x:row>
    <x:row r="45">
      <x:c r="A45" s="95" t="n">
        <x:v>2024</x:v>
      </x:c>
      <x:c r="B45" s="95" t="str">
        <x:v>beds</x:v>
      </x:c>
      <x:c r="C45" s="101" t="n">
        <x:v>323</x:v>
      </x:c>
      <x:c r="D45" s="95" t="str">
        <x:v>count</x:v>
      </x:c>
      <x:c r="E45" s="95" t="str">
        <x:v>observed_yearbook</x:v>
      </x:c>
      <x:c r="F45" s="95" t="str">
        <x:v>star_rated_hotels</x:v>
      </x:c>
      <x:c r="G45" s="95" t="str">
        <x:v>tianjin_culture_tourism_2024</x:v>
      </x:c>
      <x:c r="H45" s="95" t="str">
        <x:v>gov_tj_whly_star_hotels_2024</x:v>
      </x:c>
      <x:c r="I45" s="95" t="n">
        <x:v>1</x:v>
      </x:c>
      <x:c r="J45" s="95" t="str">
        <x:v>https://whly.tj.gov.cn/ZWGKYXXGK1640/ZFXXGK5456_1/FDZDGKNR5153/TJXX3610/202509/W020250912551107590041.xls</x:v>
      </x:c>
      <x:c r="K45" s="95" t="str">
        <x:v>蓟州星级饭店分区表；该年数值均列五星级栏；不得与限上系列相加</x:v>
      </x:c>
      <x:c r="N45" s="94" t="n">
        <x:v>2025</x:v>
      </x:c>
      <x:c r="O45" s="94" t="str">
        <x:v>all_resident_disposable_income</x:v>
      </x:c>
      <x:c r="P45" s="100" t="n">
        <x:v>38617</x:v>
      </x:c>
      <x:c r="Q45" s="94" t="str">
        <x:v>cny_per_person</x:v>
      </x:c>
      <x:c r="R45" s="94" t="str">
        <x:v>observed</x:v>
      </x:c>
      <x:c r="S45" s="94" t="str">
        <x:v>gov_jz_bulletin_2025</x:v>
      </x:c>
      <x:c r="T45" s="94" t="str">
        <x:v>https://www.tjjz.gov.cn/zwgk/sjfb/tjgb/202606/t20260629_7325623.html</x:v>
      </x:c>
      <x:c r="U45" s="94"/>
    </x:row>
    <x:row r="46">
      <x:c r="N46" s="94" t="n">
        <x:v>2025</x:v>
      </x:c>
      <x:c r="O46" s="94" t="str">
        <x:v>social_retail_sales</x:v>
      </x:c>
      <x:c r="P46" s="100" t="n">
        <x:v>75.58</x:v>
      </x:c>
      <x:c r="Q46" s="94" t="str">
        <x:v>100m_cny</x:v>
      </x:c>
      <x:c r="R46" s="94" t="str">
        <x:v>observed</x:v>
      </x:c>
      <x:c r="S46" s="94" t="str">
        <x:v>gov_jz_bulletin_2025</x:v>
      </x:c>
      <x:c r="T46" s="94" t="str">
        <x:v>https://www.tjjz.gov.cn/zwgk/sjfb/tjgb/202606/t20260629_7325623.html</x:v>
      </x:c>
      <x:c r="U46" s="94" t="str">
        <x:v>与2024年同比口径存在需进一步核验的水平跃升</x:v>
      </x:c>
    </x:row>
    <x:row r="47">
      <x:c r="N47" s="94" t="n">
        <x:v>2025</x:v>
      </x:c>
      <x:c r="O47" s="94" t="str">
        <x:v>general_public_budget_expenditure</x:v>
      </x:c>
      <x:c r="P47" s="100" t="n">
        <x:v>83.76</x:v>
      </x:c>
      <x:c r="Q47" s="94" t="str">
        <x:v>100m_cny</x:v>
      </x:c>
      <x:c r="R47" s="94" t="str">
        <x:v>observed</x:v>
      </x:c>
      <x:c r="S47" s="94" t="str">
        <x:v>gov_jz_bulletin_2025</x:v>
      </x:c>
      <x:c r="T47" s="94" t="str">
        <x:v>https://www.tjjz.gov.cn/zwgk/sjfb/tjgb/202606/t20260629_7325623.html</x:v>
      </x:c>
      <x:c r="U47" s="94"/>
    </x:row>
    <x:row r="48">
      <x:c r="N48" s="95" t="n">
        <x:v>2025</x:v>
      </x:c>
      <x:c r="O48" s="95" t="str">
        <x:v>road_mileage</x:v>
      </x:c>
      <x:c r="P48" s="101" t="n">
        <x:v>3071.683</x:v>
      </x:c>
      <x:c r="Q48" s="95" t="str">
        <x:v>km</x:v>
      </x:c>
      <x:c r="R48" s="95" t="str">
        <x:v>observed</x:v>
      </x:c>
      <x:c r="S48" s="95" t="str">
        <x:v>gov_jz_bulletin_2025</x:v>
      </x:c>
      <x:c r="T48" s="95" t="str">
        <x:v>https://www.tjjz.gov.cn/zwgk/sjfb/tjgb/202606/t20260629_7325623.html</x:v>
      </x:c>
      <x:c r="U48" s="95" t="str">
        <x:v>全区境内通车总里程；保留公报三位小数原精度</x:v>
      </x:c>
    </x:row>
  </x:sheetData>
  <x:mergeCells>
    <x:mergeCell ref="A1:U1"/>
    <x:mergeCell ref="A2:U2"/>
  </x:mergeCells>
  <x:pageMargins left="0.7" right="0.7" top="0.75" bottom="0.75" header="0.3" footer="0.3"/>
  <x:tableParts count="2">
    <x:tablePart xmlns:r="http://schemas.openxmlformats.org/officeDocument/2006/relationships" r:id="R84a5cb99d0ea4a7d"/>
    <x:tablePart xmlns:r="http://schemas.openxmlformats.org/officeDocument/2006/relationships" r:id="R3564fcf658e0488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5" hidden="0" customWidth="1"/>
    <x:col min="3" max="3" width="42" hidden="0" customWidth="1"/>
    <x:col min="4" max="4" width="56" hidden="0" customWidth="1"/>
    <x:col min="5" max="5" width="50" hidden="0" customWidth="1"/>
  </x:cols>
  <x:sheetData>
    <x:row r="1" ht="36" customHeight="1">
      <x:c r="A1" s="3" t="str">
        <x:v>必须补充与可选补充数据路线</x:v>
      </x:c>
      <x:c r="B1" s="3"/>
      <x:c r="C1" s="3"/>
      <x:c r="D1" s="3"/>
      <x:c r="E1" s="3"/>
    </x:row>
    <x:row r="2" ht="42" customHeight="1">
      <x:c r="A2" s="78" t="str">
        <x:v>“必须补充”决定能否形成可信预测或因果结论；“可选补充”用于提高精度、解释机制或扩展创新模型。Kaggle只适合算法演示，不宜替代蓟州区官方数据。</x:v>
      </x:c>
      <x:c r="B2" s="78"/>
      <x:c r="C2" s="78"/>
      <x:c r="D2" s="78"/>
      <x:c r="E2" s="78"/>
    </x:row>
    <x:row r="4">
      <x:c r="A4" s="90" t="str">
        <x:v>优先级</x:v>
      </x:c>
      <x:c r="B4" s="91" t="str">
        <x:v>所需数据</x:v>
      </x:c>
      <x:c r="C4" s="91" t="str">
        <x:v>原因</x:v>
      </x:c>
      <x:c r="D4" s="91" t="str">
        <x:v>推荐获取途径</x:v>
      </x:c>
      <x:c r="E4" s="92" t="str">
        <x:v>假设/限制</x:v>
      </x:c>
    </x:row>
    <x:row r="5" ht="76" customHeight="1">
      <x:c r="A5" s="93" t="str">
        <x:v>必须补充</x:v>
      </x:c>
      <x:c r="B5" s="93" t="str">
        <x:v>2020—2022、2025游客量与综合收入精确年度实际</x:v>
      </x:c>
      <x:c r="C5" s="93" t="str">
        <x:v>决定疫情冲击、恢复速度和2026—2030预测锚点</x:v>
      </x:c>
      <x:c r="D5" s="93" t="str">
        <x:v>蓟州区统计局/文旅局、政府信息公开申请、天津统计年鉴原表</x:v>
      </x:c>
      <x:c r="E5" s="93" t="str">
        <x:v>当前补值只作情景，不可替代实测</x:v>
      </x:c>
    </x:row>
    <x:row r="6" ht="76" customHeight="1">
      <x:c r="A6" s="94" t="str">
        <x:v>必须补充</x:v>
      </x:c>
      <x:c r="B6" s="94" t="str">
        <x:v>2016同口径旅游综合收入</x:v>
      </x:c>
      <x:c r="C6" s="94" t="str">
        <x:v>消除收入序列中间断点</x:v>
      </x:c>
      <x:c r="D6" s="94" t="str">
        <x:v>蓟州统计年鉴原表、区统计局档案</x:v>
      </x:c>
      <x:c r="E6" s="94" t="str">
        <x:v>现有108.7866为取整同比反推</x:v>
      </x:c>
    </x:row>
    <x:row r="7" ht="76" customHeight="1">
      <x:c r="A7" s="94" t="str">
        <x:v>必须补充</x:v>
      </x:c>
      <x:c r="B7" s="94" t="str">
        <x:v>旅游指标定义、调查范围和修订历史</x:v>
      </x:c>
      <x:c r="C7" s="94" t="str">
        <x:v>防止把口径变化误判为增长或冲击</x:v>
      </x:c>
      <x:c r="D7" s="94" t="str">
        <x:v>区统计局指标解释/统计制度文件</x:v>
      </x:c>
      <x:c r="E7" s="94" t="str">
        <x:v>至少明确全域/景区、重复到访和名义/实际口径</x:v>
      </x:c>
    </x:row>
    <x:row r="8" ht="76" customHeight="1">
      <x:c r="A8" s="94" t="str">
        <x:v>必须补充</x:v>
      </x:c>
      <x:c r="B8" s="94" t="str">
        <x:v>旅游收入平减指数或服务类CPI</x:v>
      </x:c>
      <x:c r="C8" s="94" t="str">
        <x:v>将名义收入转为不变价并识别真实增长</x:v>
      </x:c>
      <x:c r="D8" s="94" t="str">
        <x:v>国家统计局、天津市统计局价格指数</x:v>
      </x:c>
      <x:c r="E8" s="94" t="str">
        <x:v>可用天津服务类CPI近似并做敏感性</x:v>
      </x:c>
    </x:row>
    <x:row r="9" ht="76" customHeight="1">
      <x:c r="A9" s="94" t="str">
        <x:v>可选补充</x:v>
      </x:c>
      <x:c r="B9" s="94" t="str">
        <x:v>连续月度游客量、收入、景区客流、酒店入住率</x:v>
      </x:c>
      <x:c r="C9" s="94" t="str">
        <x:v>增加样本量并支持SARIMAX/ETS/干预分析</x:v>
      </x:c>
      <x:c r="D9" s="94" t="str">
        <x:v>区文旅局、重点景区、住宿业统计、OTA合作</x:v>
      </x:c>
      <x:c r="E9" s="94" t="str">
        <x:v>目标不少于60个连续月份</x:v>
      </x:c>
    </x:row>
    <x:row r="10" ht="76" customHeight="1">
      <x:c r="A10" s="94" t="str">
        <x:v>可选补充</x:v>
      </x:c>
      <x:c r="B10" s="94" t="str">
        <x:v>客源地、过夜率、停留时长、复游率、人均消费</x:v>
      </x:c>
      <x:c r="C10" s="94" t="str">
        <x:v>把收入变化拆分为数量、停留和消费机制</x:v>
      </x:c>
      <x:c r="D10" s="94" t="str">
        <x:v>运营商信令、问卷、OTA、文旅大数据平台</x:v>
      </x:c>
      <x:c r="E10" s="94" t="str">
        <x:v>必须统一年度/节假日口径</x:v>
      </x:c>
    </x:row>
    <x:row r="11" ht="76" customHeight="1">
      <x:c r="A11" s="94" t="str">
        <x:v>可选补充</x:v>
      </x:c>
      <x:c r="B11" s="94" t="str">
        <x:v>交通流、停车、铁路/公交客运与天气事件</x:v>
      </x:c>
      <x:c r="C11" s="94" t="str">
        <x:v>解释可达性和外部冲击</x:v>
      </x:c>
      <x:c r="D11" s="94" t="str">
        <x:v>交通运输部门、高德/百度开放数据、中国气象数据网</x:v>
      </x:c>
      <x:c r="E11" s="94" t="str">
        <x:v>按日或月对齐，并记录闭园/暴雨事件</x:v>
      </x:c>
    </x:row>
    <x:row r="12" ht="76" customHeight="1">
      <x:c r="A12" s="94" t="str">
        <x:v>可选补充</x:v>
      </x:c>
      <x:c r="B12" s="94" t="str">
        <x:v>旅游专项投入、项目投产时间、营销曝光</x:v>
      </x:c>
      <x:c r="C12" s="94" t="str">
        <x:v>估计政策弹性与滞后效应</x:v>
      </x:c>
      <x:c r="D12" s="94" t="str">
        <x:v>财政决算、发改项目库、采购公告、宣传平台后台</x:v>
      </x:c>
      <x:c r="E12" s="94" t="str">
        <x:v>文旅体传媒支出不能直接当旅游专项投入</x:v>
      </x:c>
    </x:row>
    <x:row r="13" ht="76" customHeight="1">
      <x:c r="A13" s="95" t="str">
        <x:v>可选补充</x:v>
      </x:c>
      <x:c r="B13" s="95" t="str">
        <x:v>相似区县同口径面板</x:v>
      </x:c>
      <x:c r="C13" s="95" t="str">
        <x:v>支持DID、合成控制与相对趋势校验</x:v>
      </x:c>
      <x:c r="D13" s="95" t="str">
        <x:v>天津其他区、北京近郊、河北相似县区统计公报/EPS</x:v>
      </x:c>
      <x:c r="E13" s="95" t="str">
        <x:v>先做口径映射，再进行面板分析</x:v>
      </x:c>
    </x:row>
  </x:sheetData>
  <x:mergeCells>
    <x:mergeCell ref="A1:E1"/>
    <x:mergeCell ref="A2:E2"/>
  </x:mergeCells>
  <x:conditionalFormatting sqref="A5:A13">
    <x:cfRule type="containsText" dxfId="5" priority="1" operator="containsText" text="必须"/>
    <x:cfRule type="containsText" dxfId="6" priority="2" operator="containsText" text="可选"/>
  </x:conditionalFormatting>
  <x:pageMargins left="0.7" right="0.7" top="0.75" bottom="0.75" header="0.3" footer="0.3"/>
  <x:tableParts count="1">
    <x:tablePart xmlns:r="http://schemas.openxmlformats.org/officeDocument/2006/relationships" r:id="Rd725bbebd635430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8" hidden="0" customWidth="1"/>
    <x:col min="3" max="3" width="42" hidden="0" customWidth="1"/>
    <x:col min="4" max="4" width="38" hidden="0" customWidth="1"/>
    <x:col min="5" max="5" width="36" hidden="0" customWidth="1"/>
    <x:col min="6" max="6" width="40" hidden="0" customWidth="1"/>
    <x:col min="7" max="7" width="38" hidden="0" customWidth="1"/>
    <x:col min="8" max="8" width="50" hidden="0" customWidth="1"/>
  </x:cols>
  <x:sheetData>
    <x:row r="1" ht="36" customHeight="1">
      <x:c r="A1" s="3" t="str">
        <x:v>两份建模试验的评价与最终模型建议</x:v>
      </x:c>
      <x:c r="B1" s="3"/>
      <x:c r="C1" s="3"/>
      <x:c r="D1" s="3"/>
      <x:c r="E1" s="3"/>
      <x:c r="F1" s="3"/>
      <x:c r="G1" s="3"/>
      <x:c r="H1" s="3"/>
    </x:row>
    <x:row r="2" ht="48" customHeight="1">
      <x:c r="A2" s="115" t="str">
        <x:v>结论：机器学习报告对小样本、外推和前视偏差的判断是正确的；传统报告的统计解释更完整，但对数断点模型延续14%—18%增长率，只能作为乐观上界。最终应采用“低参数主模型＋政策情景＋结构敏感性”的三层架构。</x:v>
      </x:c>
      <x:c r="B2" s="115"/>
      <x:c r="C2" s="115"/>
      <x:c r="D2" s="115"/>
      <x:c r="E2" s="115"/>
      <x:c r="F2" s="115"/>
      <x:c r="G2" s="115"/>
      <x:c r="H2" s="115"/>
    </x:row>
    <x:row r="4">
      <x:c r="A4" s="9" t="str">
        <x:v>现有方案对比</x:v>
      </x:c>
      <x:c r="B4" s="9"/>
      <x:c r="C4" s="9"/>
      <x:c r="D4" s="9"/>
      <x:c r="E4" s="9"/>
      <x:c r="F4" s="9"/>
      <x:c r="G4" s="9"/>
      <x:c r="H4" s="9"/>
    </x:row>
    <x:row r="5">
      <x:c r="A5" s="90" t="str">
        <x:v>方案</x:v>
      </x:c>
      <x:c r="B5" s="91" t="str">
        <x:v>目标尺度/结构</x:v>
      </x:c>
      <x:c r="C5" s="91" t="str">
        <x:v>滚动验证</x:v>
      </x:c>
      <x:c r="D5" s="91" t="str">
        <x:v>2030游客量</x:v>
      </x:c>
      <x:c r="E5" s="91" t="str">
        <x:v>2030收入</x:v>
      </x:c>
      <x:c r="F5" s="91" t="str">
        <x:v>优点</x:v>
      </x:c>
      <x:c r="G5" s="91" t="str">
        <x:v>主要风险</x:v>
      </x:c>
      <x:c r="H5" s="92" t="str">
        <x:v>建议角色</x:v>
      </x:c>
    </x:row>
    <x:row r="6" ht="64" customHeight="1">
      <x:c r="A6" s="93" t="str">
        <x:v>原值 Ridge</x:v>
      </x:c>
      <x:c r="B6" s="93" t="str">
        <x:v>绝对增量＋疫情/恢复哑变量</x:v>
      </x:c>
      <x:c r="C6" s="93" t="str">
        <x:v>sMAPE 11.33% / 15.08%</x:v>
      </x:c>
      <x:c r="D6" s="116" t="n">
        <x:v>3941.1</x:v>
      </x:c>
      <x:c r="E6" s="116" t="n">
        <x:v>298.5</x:v>
      </x:c>
      <x:c r="F6" s="93" t="str">
        <x:v>低方差、能线性外推、验证设计较规范</x:v>
      </x:c>
      <x:c r="G6" s="93" t="str">
        <x:v>恢复期只有2个测试点；长期斜率仍不稳定</x:v>
      </x:c>
      <x:c r="H6" s="93" t="str">
        <x:v>数据驱动主基准</x:v>
      </x:c>
    </x:row>
    <x:row r="7" ht="64" customHeight="1">
      <x:c r="A7" s="94" t="str">
        <x:v>对数断点回归</x:v>
      </x:c>
      <x:c r="B7" s="94" t="str">
        <x:v>乘法增长＋2023后水平断点</x:v>
      </x:c>
      <x:c r="C7" s="94" t="str">
        <x:v>报告为样本内MAPE，非同口径滚动验证</x:v>
      </x:c>
      <x:c r="D7" s="117" t="n">
        <x:v>5982.6</x:v>
      </x:c>
      <x:c r="E7" s="117" t="n">
        <x:v>619</x:v>
      </x:c>
      <x:c r="F7" s="94" t="str">
        <x:v>解释直观、参数少、区间可计算</x:v>
      </x:c>
      <x:c r="G7" s="94" t="str">
        <x:v>把疫情前14%—18%增长延续至2030，偏乐观</x:v>
      </x:c>
      <x:c r="H7" s="94" t="str">
        <x:v>乐观上界/结构敏感性</x:v>
      </x:c>
    </x:row>
    <x:row r="8" ht="64" customHeight="1">
      <x:c r="A8" s="94" t="str">
        <x:v>BayesianRidge(对数)</x:v>
      </x:c>
      <x:c r="B8" s="94" t="str">
        <x:v>固定特征＋对数高斯</x:v>
      </x:c>
      <x:c r="C8" s="94" t="str">
        <x:v>条件区间</x:v>
      </x:c>
      <x:c r="D8" s="117" t="n">
        <x:v>5970.8</x:v>
      </x:c>
      <x:c r="E8" s="117" t="n">
        <x:v>615.2</x:v>
      </x:c>
      <x:c r="F8" s="94" t="str">
        <x:v>能表达模型条件不确定性</x:v>
      </x:c>
      <x:c r="G8" s="94" t="str">
        <x:v>区间未覆盖模型结构、目标变换和政策变化</x:v>
      </x:c>
      <x:c r="H8" s="94" t="str">
        <x:v>稳健性模型，不作唯一结论</x:v>
      </x:c>
    </x:row>
    <x:row r="9" ht="64" customHeight="1">
      <x:c r="A9" s="94" t="str">
        <x:v>政策锚定情景</x:v>
      </x:c>
      <x:c r="B9" s="94" t="str">
        <x:v>2025目标＋收入8%＋人均消费3%</x:v>
      </x:c>
      <x:c r="C9" s="94" t="str">
        <x:v>非统计回测</x:v>
      </x:c>
      <x:c r="D9" s="117" t="n">
        <x:v>3548.9</x:v>
      </x:c>
      <x:c r="E9" s="117" t="n">
        <x:v>339.4</x:v>
      </x:c>
      <x:c r="F9" s="94" t="str">
        <x:v>适合规划讨论，假设透明</x:v>
      </x:c>
      <x:c r="G9" s="94" t="str">
        <x:v>目标不是实际；不具统计置信含义</x:v>
      </x:c>
      <x:c r="H9" s="94" t="str">
        <x:v>政策基准情景</x:v>
      </x:c>
    </x:row>
    <x:row r="10" ht="64" customHeight="1">
      <x:c r="A10" s="95" t="str">
        <x:v>RF / RBF-SVR / 样条</x:v>
      </x:c>
      <x:c r="B10" s="95" t="str">
        <x:v>非外推或边界外推</x:v>
      </x:c>
      <x:c r="C10" s="95" t="str">
        <x:v>负对照</x:v>
      </x:c>
      <x:c r="D10" s="118" t="str">
        <x:v>1172—2594</x:v>
      </x:c>
      <x:c r="E10" s="118" t="str">
        <x:v>80—203</x:v>
      </x:c>
      <x:c r="F10" s="95" t="str">
        <x:v>能揭示算法外推缺陷</x:v>
      </x:c>
      <x:c r="G10" s="95" t="str">
        <x:v>训练域外变常数、回落或反向下降</x:v>
      </x:c>
      <x:c r="H10" s="95" t="str">
        <x:v>仅作负对照</x:v>
      </x:c>
    </x:row>
    <x:row r="12">
      <x:c r="A12" s="9" t="str">
        <x:v>按小问落地的最终架构</x:v>
      </x:c>
      <x:c r="B12" s="9"/>
      <x:c r="C12" s="9"/>
      <x:c r="D12" s="9"/>
      <x:c r="E12" s="9"/>
      <x:c r="F12" s="9"/>
      <x:c r="G12" s="9"/>
      <x:c r="H12" s="9"/>
    </x:row>
    <x:row r="13">
      <x:c r="A13" s="90" t="str">
        <x:v>小问/任务</x:v>
      </x:c>
      <x:c r="B13" s="91" t="str">
        <x:v>主模型</x:v>
      </x:c>
      <x:c r="C13" s="91" t="str">
        <x:v>稳健性/创新层</x:v>
      </x:c>
      <x:c r="D13" s="91" t="str">
        <x:v>数据层</x:v>
      </x:c>
      <x:c r="E13" s="91" t="str">
        <x:v>验证</x:v>
      </x:c>
      <x:c r="F13" s="91" t="str">
        <x:v>输出</x:v>
      </x:c>
      <x:c r="G13" s="91" t="str">
        <x:v>不建议</x:v>
      </x:c>
      <x:c r="H13" s="92" t="str">
        <x:v>判定理由</x:v>
      </x:c>
    </x:row>
    <x:row r="14" ht="115" customHeight="1">
      <x:c r="A14" s="93" t="str">
        <x:v>问题1：历史规律</x:v>
      </x:c>
      <x:c r="B14" s="93" t="str">
        <x:v>质量分层的稳健分段对数回归（疫情前/冲击/恢复）</x:v>
      </x:c>
      <x:c r="C14" s="93" t="str">
        <x:v>贝叶斯局部线性趋势或HMM状态切换</x:v>
      </x:c>
      <x:c r="D14" s="93" t="str">
        <x:v>严格观测为主；补全层只做敏感性</x:v>
      </x:c>
      <x:c r="E14" s="93" t="str">
        <x:v>断点检验＋留一/滚动验证＋残差诊断</x:v>
      </x:c>
      <x:c r="F14" s="93" t="str">
        <x:v>增长阶段、冲击幅度、恢复速度和口径断点</x:v>
      </x:c>
      <x:c r="G14" s="93" t="str">
        <x:v>单段指数增长</x:v>
      </x:c>
      <x:c r="H14" s="93" t="str">
        <x:v>能解释2019口径断点与2020—2023结构冲击，参数数量可控</x:v>
      </x:c>
    </x:row>
    <x:row r="15" ht="115" customHeight="1">
      <x:c r="A15" s="94" t="str">
        <x:v>问题2：2026—2030预测</x:v>
      </x:c>
      <x:c r="B15" s="94" t="str">
        <x:v>原值 Ridge（时间趋势＋疫情/恢复哑变量）作为点预测基准</x:v>
      </x:c>
      <x:c r="C15" s="94" t="str">
        <x:v>与阻尼趋势/政策锚定情景组成三路径；用模型分歧形成压力包络</x:v>
      </x:c>
      <x:c r="D15" s="94" t="str">
        <x:v>未来未知外生变量不进入点预测；2025二手值只作锚点敏感性</x:v>
      </x:c>
      <x:c r="E15" s="94" t="str">
        <x:v>expanding-origin滚动回测；分阶段报告MAPE/sMAPE</x:v>
      </x:c>
      <x:c r="F15" s="94" t="str">
        <x:v>数据驱动基准、政策基准、乐观上界，不给伪精确唯一曲线</x:v>
      </x:c>
      <x:c r="G15" s="94" t="str">
        <x:v>RF、RBF-SVR、LSTM、Transformer、高阶ARIMAX</x:v>
      </x:c>
      <x:c r="H15" s="94" t="str">
        <x:v>当前每个目标只有12个官方年度标签，低维强正则最稳健</x:v>
      </x:c>
    </x:row>
    <x:row r="16" ht="115" customHeight="1">
      <x:c r="A16" s="95" t="str">
        <x:v>问题3：政策与敏感性</x:v>
      </x:c>
      <x:c r="B16" s="95" t="str">
        <x:v>R=V×S/10000恒等分解＋情景树＋LHS Monte Carlo</x:v>
      </x:c>
      <x:c r="C16" s="95" t="str">
        <x:v>若补到投入/客源面板，再升级DID/合成控制或贝叶斯网络</x:v>
      </x:c>
      <x:c r="D16" s="95" t="str">
        <x:v>参数用区间与三角分布；区分可控政策和外生冲击</x:v>
      </x:c>
      <x:c r="E16" s="95" t="str">
        <x:v>全局敏感性（PRCC/Sobol可选）＋约束一致性检查</x:v>
      </x:c>
      <x:c r="F16" s="95" t="str">
        <x:v>关键杠杆排序、情景概率、稳健策略</x:v>
      </x:c>
      <x:c r="G16" s="95" t="str">
        <x:v>直接回归财政投入弹性、用文旅体传媒支出代替旅游专项投入</x:v>
      </x:c>
      <x:c r="H16" s="95" t="str">
        <x:v>现有数据不能识别因果弹性，情景模型更诚实且可答辩</x:v>
      </x:c>
    </x:row>
    <x:row r="18">
      <x:c r="A18" s="120" t="str">
        <x:v>最重要的论文表述边界</x:v>
      </x:c>
      <x:c r="B18" s="120"/>
      <x:c r="C18" s="120"/>
      <x:c r="D18" s="120"/>
      <x:c r="E18" s="120"/>
      <x:c r="F18" s="120"/>
      <x:c r="G18" s="120"/>
      <x:c r="H18" s="120"/>
    </x:row>
    <x:row r="19">
      <x:c r="A19" s="113" t="str">
        <x:v>不要把补全层写成“处理后真实数据”，应写成“用于模型连续性和敏感性分析的约束一致情景值”；不要把BayesianRidge条件区间或小样本残差区间称为总不确定性95%区间；不要用全样本标准化后再滚动回测。主结论应报告模型结构敏感性：2030年游客量约3549—5983万人次、收入约298.5—619亿元的跨模型差异，说明目标尺度与长期增长假设比超参数更重要。</x:v>
      </x:c>
      <x:c r="B19" s="113"/>
      <x:c r="C19" s="113"/>
      <x:c r="D19" s="113"/>
      <x:c r="E19" s="113"/>
      <x:c r="F19" s="113"/>
      <x:c r="G19" s="113"/>
      <x:c r="H19" s="113"/>
    </x:row>
    <x:row r="20">
      <x:c r="A20" s="113"/>
      <x:c r="B20" s="113"/>
      <x:c r="C20" s="113"/>
      <x:c r="D20" s="113"/>
      <x:c r="E20" s="113"/>
      <x:c r="F20" s="113"/>
      <x:c r="G20" s="113"/>
      <x:c r="H20" s="113"/>
    </x:row>
    <x:row r="21">
      <x:c r="A21" s="113"/>
      <x:c r="B21" s="113"/>
      <x:c r="C21" s="113"/>
      <x:c r="D21" s="113"/>
      <x:c r="E21" s="113"/>
      <x:c r="F21" s="113"/>
      <x:c r="G21" s="113"/>
      <x:c r="H21" s="113"/>
    </x:row>
  </x:sheetData>
  <x:mergeCells>
    <x:mergeCell ref="A1:H1"/>
    <x:mergeCell ref="A2:H2"/>
    <x:mergeCell ref="A4:H4"/>
    <x:mergeCell ref="A12:H12"/>
    <x:mergeCell ref="A18:H18"/>
    <x:mergeCell ref="A19:H21"/>
  </x:mergeCells>
  <x:pageMargins left="0.7" right="0.7" top="0.75" bottom="0.75" header="0.3" footer="0.3"/>
  <x:tableParts count="2">
    <x:tablePart xmlns:r="http://schemas.openxmlformats.org/officeDocument/2006/relationships" r:id="R6912075666684b8f"/>
    <x:tablePart xmlns:r="http://schemas.openxmlformats.org/officeDocument/2006/relationships" r:id="R3c54353e517d4c27"/>
  </x:tableParts>
</x:worksheet>
</file>