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junk mass\小乱七八糟\数学建模\26国赛\shared files\data\邱志烨-数据预处理\"/>
    </mc:Choice>
  </mc:AlternateContent>
  <xr:revisionPtr revIDLastSave="0" documentId="13_ncr:1_{4154B96C-442B-4AE2-B55C-B871B6836C75}" xr6:coauthVersionLast="47" xr6:coauthVersionMax="47" xr10:uidLastSave="{00000000-0000-0000-0000-000000000000}"/>
  <bookViews>
    <workbookView xWindow="-108" yWindow="-108" windowWidth="23256" windowHeight="13896" firstSheet="1" activeTab="7" xr2:uid="{00000000-000D-0000-FFFF-FFFF00000000}"/>
  </bookViews>
  <sheets>
    <sheet name="使用说明" sheetId="1" r:id="rId1"/>
    <sheet name="模型选择" sheetId="2" r:id="rId2"/>
    <sheet name="模型流程" sheetId="3" r:id="rId3"/>
    <sheet name="原始年度数据" sheetId="4" r:id="rId4"/>
    <sheet name="补充假设" sheetId="5" r:id="rId5"/>
    <sheet name="预处理结果" sheetId="6" r:id="rId6"/>
    <sheet name="异常检测" sheetId="7" r:id="rId7"/>
    <sheet name="趋势图" sheetId="8" r:id="rId8"/>
    <sheet name="数据补充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0" i="8" l="1"/>
  <c r="D19" i="8"/>
  <c r="A19" i="8"/>
  <c r="D16" i="8"/>
  <c r="B14" i="8"/>
  <c r="C12" i="8"/>
  <c r="D7" i="8"/>
  <c r="B5" i="8"/>
  <c r="A26" i="7"/>
  <c r="A46" i="7" s="1"/>
  <c r="E11" i="7"/>
  <c r="D11" i="7"/>
  <c r="C11" i="7"/>
  <c r="G31" i="7" s="1"/>
  <c r="B11" i="7"/>
  <c r="B31" i="7" s="1"/>
  <c r="AD19" i="6"/>
  <c r="X19" i="6"/>
  <c r="M19" i="6"/>
  <c r="E20" i="8" s="1"/>
  <c r="K19" i="6"/>
  <c r="C20" i="8" s="1"/>
  <c r="J19" i="6"/>
  <c r="I19" i="6"/>
  <c r="H19" i="6"/>
  <c r="G19" i="6"/>
  <c r="F19" i="6"/>
  <c r="Q19" i="6" s="1"/>
  <c r="E19" i="6"/>
  <c r="O19" i="6" s="1"/>
  <c r="D19" i="6"/>
  <c r="D20" i="8" s="1"/>
  <c r="C19" i="6"/>
  <c r="B19" i="6"/>
  <c r="B20" i="8" s="1"/>
  <c r="A19" i="6"/>
  <c r="W19" i="6" s="1"/>
  <c r="X18" i="6"/>
  <c r="W18" i="6"/>
  <c r="M18" i="6"/>
  <c r="K18" i="6"/>
  <c r="J18" i="6"/>
  <c r="I18" i="6"/>
  <c r="H18" i="6"/>
  <c r="G18" i="6"/>
  <c r="F18" i="6"/>
  <c r="Q18" i="6" s="1"/>
  <c r="E18" i="6"/>
  <c r="O18" i="6" s="1"/>
  <c r="D18" i="6"/>
  <c r="C18" i="6"/>
  <c r="B18" i="6"/>
  <c r="B19" i="8" s="1"/>
  <c r="A18" i="6"/>
  <c r="A25" i="7" s="1"/>
  <c r="AD17" i="6"/>
  <c r="AC17" i="6"/>
  <c r="Q17" i="6"/>
  <c r="O17" i="6"/>
  <c r="M17" i="6"/>
  <c r="K17" i="6"/>
  <c r="J17" i="6"/>
  <c r="I17" i="6"/>
  <c r="H17" i="6"/>
  <c r="G17" i="6"/>
  <c r="F17" i="6"/>
  <c r="E17" i="6"/>
  <c r="D17" i="6"/>
  <c r="D18" i="8" s="1"/>
  <c r="C17" i="6"/>
  <c r="B17" i="6"/>
  <c r="B18" i="8" s="1"/>
  <c r="A17" i="6"/>
  <c r="A18" i="8" s="1"/>
  <c r="AD16" i="6"/>
  <c r="Q16" i="6"/>
  <c r="O16" i="6"/>
  <c r="M16" i="6"/>
  <c r="E17" i="8" s="1"/>
  <c r="J16" i="6"/>
  <c r="I16" i="6"/>
  <c r="H16" i="6"/>
  <c r="G16" i="6"/>
  <c r="F16" i="6"/>
  <c r="E16" i="6"/>
  <c r="D16" i="6"/>
  <c r="D17" i="8" s="1"/>
  <c r="C16" i="6"/>
  <c r="B16" i="6"/>
  <c r="B17" i="8" s="1"/>
  <c r="A16" i="6"/>
  <c r="AD15" i="6"/>
  <c r="M15" i="6"/>
  <c r="J15" i="6"/>
  <c r="I15" i="6"/>
  <c r="H15" i="6"/>
  <c r="G15" i="6"/>
  <c r="F15" i="6"/>
  <c r="Q15" i="6" s="1"/>
  <c r="E15" i="6"/>
  <c r="O15" i="6" s="1"/>
  <c r="D15" i="6"/>
  <c r="C15" i="6"/>
  <c r="B15" i="6"/>
  <c r="B16" i="8" s="1"/>
  <c r="A15" i="6"/>
  <c r="AC14" i="6"/>
  <c r="S14" i="6"/>
  <c r="J14" i="6"/>
  <c r="I14" i="6"/>
  <c r="H14" i="6"/>
  <c r="G14" i="6"/>
  <c r="F14" i="6"/>
  <c r="Q14" i="6" s="1"/>
  <c r="E14" i="6"/>
  <c r="O14" i="6" s="1"/>
  <c r="D14" i="6"/>
  <c r="D15" i="8" s="1"/>
  <c r="C14" i="6"/>
  <c r="B14" i="6"/>
  <c r="B15" i="8" s="1"/>
  <c r="A14" i="6"/>
  <c r="X13" i="6"/>
  <c r="W13" i="6"/>
  <c r="S13" i="6"/>
  <c r="B20" i="7" s="1"/>
  <c r="B40" i="7" s="1"/>
  <c r="K13" i="6"/>
  <c r="C14" i="8" s="1"/>
  <c r="J13" i="6"/>
  <c r="I13" i="6"/>
  <c r="H13" i="6"/>
  <c r="G13" i="6"/>
  <c r="F13" i="6"/>
  <c r="Q13" i="6" s="1"/>
  <c r="E13" i="6"/>
  <c r="O13" i="6" s="1"/>
  <c r="D13" i="6"/>
  <c r="C13" i="6"/>
  <c r="B13" i="6"/>
  <c r="A13" i="6"/>
  <c r="A20" i="7" s="1"/>
  <c r="X12" i="6"/>
  <c r="M12" i="6"/>
  <c r="K12" i="6"/>
  <c r="J12" i="6"/>
  <c r="I12" i="6"/>
  <c r="H12" i="6"/>
  <c r="G12" i="6"/>
  <c r="F12" i="6"/>
  <c r="E12" i="6"/>
  <c r="O12" i="6" s="1"/>
  <c r="D12" i="6"/>
  <c r="D13" i="8" s="1"/>
  <c r="C12" i="6"/>
  <c r="B12" i="6"/>
  <c r="B13" i="8" s="1"/>
  <c r="A12" i="6"/>
  <c r="AD11" i="6"/>
  <c r="AC11" i="6"/>
  <c r="X11" i="6"/>
  <c r="W11" i="6"/>
  <c r="M11" i="6"/>
  <c r="K11" i="6"/>
  <c r="J11" i="6"/>
  <c r="I11" i="6"/>
  <c r="H11" i="6"/>
  <c r="G11" i="6"/>
  <c r="F11" i="6"/>
  <c r="E11" i="6"/>
  <c r="D11" i="6"/>
  <c r="D12" i="8" s="1"/>
  <c r="C11" i="6"/>
  <c r="B11" i="6"/>
  <c r="B12" i="8" s="1"/>
  <c r="A11" i="6"/>
  <c r="J10" i="6"/>
  <c r="I10" i="6"/>
  <c r="H10" i="6"/>
  <c r="G10" i="6"/>
  <c r="F10" i="6"/>
  <c r="E10" i="6"/>
  <c r="O10" i="6" s="1"/>
  <c r="AA10" i="6" s="1"/>
  <c r="D10" i="6"/>
  <c r="D11" i="8" s="1"/>
  <c r="C10" i="6"/>
  <c r="B10" i="6"/>
  <c r="A10" i="6"/>
  <c r="O9" i="6"/>
  <c r="Q9" i="6" s="1"/>
  <c r="J9" i="6"/>
  <c r="I9" i="6"/>
  <c r="H9" i="6"/>
  <c r="G9" i="6"/>
  <c r="F9" i="6"/>
  <c r="E9" i="6"/>
  <c r="D9" i="6"/>
  <c r="D10" i="8" s="1"/>
  <c r="C9" i="6"/>
  <c r="B9" i="6"/>
  <c r="A9" i="6"/>
  <c r="Q8" i="6"/>
  <c r="O8" i="6"/>
  <c r="J8" i="6"/>
  <c r="I8" i="6"/>
  <c r="H8" i="6"/>
  <c r="G8" i="6"/>
  <c r="F8" i="6"/>
  <c r="E8" i="6"/>
  <c r="D8" i="6"/>
  <c r="C8" i="6"/>
  <c r="B8" i="6"/>
  <c r="A8" i="6"/>
  <c r="X8" i="6" s="1"/>
  <c r="X7" i="6"/>
  <c r="W7" i="6"/>
  <c r="K7" i="6"/>
  <c r="J7" i="6"/>
  <c r="I7" i="6"/>
  <c r="H7" i="6"/>
  <c r="G7" i="6"/>
  <c r="F7" i="6"/>
  <c r="Q7" i="6" s="1"/>
  <c r="E7" i="6"/>
  <c r="O7" i="6" s="1"/>
  <c r="D7" i="6"/>
  <c r="C7" i="6"/>
  <c r="B7" i="6"/>
  <c r="B8" i="8" s="1"/>
  <c r="A7" i="6"/>
  <c r="A8" i="8" s="1"/>
  <c r="AC6" i="6"/>
  <c r="X6" i="6"/>
  <c r="W6" i="6"/>
  <c r="M6" i="6"/>
  <c r="K6" i="6"/>
  <c r="J6" i="6"/>
  <c r="I6" i="6"/>
  <c r="H6" i="6"/>
  <c r="G6" i="6"/>
  <c r="F6" i="6"/>
  <c r="E6" i="6"/>
  <c r="O6" i="6" s="1"/>
  <c r="D6" i="6"/>
  <c r="C6" i="6"/>
  <c r="B6" i="6"/>
  <c r="B7" i="8" s="1"/>
  <c r="A6" i="6"/>
  <c r="A13" i="7" s="1"/>
  <c r="AD5" i="6"/>
  <c r="AC5" i="6"/>
  <c r="X5" i="6"/>
  <c r="W5" i="6"/>
  <c r="Q5" i="6"/>
  <c r="O5" i="6"/>
  <c r="M5" i="6"/>
  <c r="K5" i="6"/>
  <c r="C6" i="8" s="1"/>
  <c r="J5" i="6"/>
  <c r="I5" i="6"/>
  <c r="H5" i="6"/>
  <c r="G5" i="6"/>
  <c r="F5" i="6"/>
  <c r="E5" i="6"/>
  <c r="D5" i="6"/>
  <c r="D6" i="8" s="1"/>
  <c r="C5" i="6"/>
  <c r="B5" i="6"/>
  <c r="B6" i="8" s="1"/>
  <c r="A5" i="6"/>
  <c r="A6" i="8" s="1"/>
  <c r="O4" i="6"/>
  <c r="M4" i="6"/>
  <c r="E5" i="8" s="1"/>
  <c r="K4" i="6"/>
  <c r="J4" i="6"/>
  <c r="I4" i="6"/>
  <c r="H4" i="6"/>
  <c r="G4" i="6"/>
  <c r="F4" i="6"/>
  <c r="Q4" i="6" s="1"/>
  <c r="E4" i="6"/>
  <c r="D4" i="6"/>
  <c r="D5" i="8" s="1"/>
  <c r="C4" i="6"/>
  <c r="B4" i="6"/>
  <c r="A4" i="6"/>
  <c r="B23" i="5"/>
  <c r="O11" i="6" s="1"/>
  <c r="B22" i="5"/>
  <c r="M10" i="6" s="1"/>
  <c r="B21" i="5"/>
  <c r="M14" i="6" s="1"/>
  <c r="B20" i="5"/>
  <c r="K14" i="6" s="1"/>
  <c r="B17" i="5"/>
  <c r="B16" i="5"/>
  <c r="B18" i="5" s="1"/>
  <c r="K15" i="6" s="1"/>
  <c r="G6" i="1"/>
  <c r="E6" i="1"/>
  <c r="C6" i="1"/>
  <c r="A6" i="1"/>
  <c r="E15" i="8" l="1"/>
  <c r="AD14" i="6"/>
  <c r="B21" i="7"/>
  <c r="B41" i="7" s="1"/>
  <c r="Q11" i="6"/>
  <c r="AA11" i="6"/>
  <c r="Q12" i="6"/>
  <c r="AB12" i="6" s="1"/>
  <c r="AA12" i="6"/>
  <c r="A15" i="8"/>
  <c r="A21" i="7"/>
  <c r="X14" i="6"/>
  <c r="W14" i="6"/>
  <c r="C16" i="8"/>
  <c r="S15" i="6"/>
  <c r="AC15" i="6"/>
  <c r="AC18" i="6"/>
  <c r="C19" i="8"/>
  <c r="S18" i="6"/>
  <c r="Y18" i="6"/>
  <c r="S19" i="6"/>
  <c r="AD10" i="6"/>
  <c r="E11" i="8"/>
  <c r="T10" i="6"/>
  <c r="C5" i="8"/>
  <c r="Y11" i="6"/>
  <c r="Y5" i="6"/>
  <c r="Y13" i="6"/>
  <c r="AC4" i="6"/>
  <c r="Q6" i="6"/>
  <c r="AA6" i="6"/>
  <c r="AA7" i="6"/>
  <c r="AA8" i="6"/>
  <c r="Q10" i="6"/>
  <c r="AA18" i="6"/>
  <c r="A16" i="7"/>
  <c r="X9" i="6"/>
  <c r="W9" i="6"/>
  <c r="A10" i="8"/>
  <c r="AA16" i="6"/>
  <c r="S5" i="6"/>
  <c r="B10" i="8"/>
  <c r="K9" i="6"/>
  <c r="B11" i="8"/>
  <c r="K10" i="6"/>
  <c r="Y4" i="6" s="1"/>
  <c r="AA14" i="6"/>
  <c r="Z17" i="6"/>
  <c r="AA4" i="6"/>
  <c r="AA9" i="6"/>
  <c r="AA15" i="6"/>
  <c r="AA17" i="6"/>
  <c r="AD18" i="6"/>
  <c r="E19" i="8"/>
  <c r="T18" i="6"/>
  <c r="Z12" i="6"/>
  <c r="F45" i="7"/>
  <c r="A45" i="7"/>
  <c r="AB19" i="6"/>
  <c r="Z5" i="6"/>
  <c r="B9" i="8"/>
  <c r="K8" i="6"/>
  <c r="D9" i="8"/>
  <c r="M8" i="6"/>
  <c r="E16" i="8"/>
  <c r="Z15" i="6"/>
  <c r="Z18" i="6"/>
  <c r="T12" i="6"/>
  <c r="AD12" i="6"/>
  <c r="E13" i="8"/>
  <c r="D14" i="8"/>
  <c r="M13" i="6"/>
  <c r="A16" i="8"/>
  <c r="A22" i="7"/>
  <c r="X15" i="6"/>
  <c r="W15" i="6"/>
  <c r="AD4" i="6"/>
  <c r="E6" i="8"/>
  <c r="T5" i="6"/>
  <c r="F33" i="7"/>
  <c r="A33" i="7"/>
  <c r="E12" i="8"/>
  <c r="T11" i="6"/>
  <c r="A13" i="8"/>
  <c r="A19" i="7"/>
  <c r="T16" i="6"/>
  <c r="B19" i="5"/>
  <c r="K16" i="6" s="1"/>
  <c r="D8" i="8"/>
  <c r="M7" i="6"/>
  <c r="Z10" i="6" s="1"/>
  <c r="A18" i="7"/>
  <c r="A12" i="8"/>
  <c r="AB13" i="6"/>
  <c r="AB8" i="6"/>
  <c r="C18" i="8"/>
  <c r="AA19" i="6"/>
  <c r="A5" i="8"/>
  <c r="X4" i="6"/>
  <c r="W4" i="6"/>
  <c r="A11" i="7"/>
  <c r="Z6" i="6"/>
  <c r="A15" i="7"/>
  <c r="A9" i="8"/>
  <c r="E18" i="8"/>
  <c r="T17" i="6"/>
  <c r="Z11" i="6"/>
  <c r="AA5" i="6"/>
  <c r="C8" i="8"/>
  <c r="AC7" i="6"/>
  <c r="A40" i="7"/>
  <c r="F40" i="7"/>
  <c r="S7" i="6"/>
  <c r="A17" i="8"/>
  <c r="X16" i="6"/>
  <c r="W16" i="6"/>
  <c r="A23" i="7"/>
  <c r="W17" i="6"/>
  <c r="C7" i="8"/>
  <c r="S6" i="6"/>
  <c r="W8" i="6"/>
  <c r="C13" i="8"/>
  <c r="S12" i="6"/>
  <c r="AC12" i="6"/>
  <c r="X17" i="6"/>
  <c r="E7" i="8"/>
  <c r="T6" i="6"/>
  <c r="AD6" i="6"/>
  <c r="Y17" i="6"/>
  <c r="AA13" i="6"/>
  <c r="A24" i="7"/>
  <c r="C15" i="8"/>
  <c r="M9" i="6"/>
  <c r="A11" i="8"/>
  <c r="A17" i="7"/>
  <c r="X10" i="6"/>
  <c r="W10" i="6"/>
  <c r="W12" i="6"/>
  <c r="T15" i="6"/>
  <c r="Z16" i="6"/>
  <c r="T19" i="6"/>
  <c r="A12" i="7"/>
  <c r="A7" i="8"/>
  <c r="AC19" i="6"/>
  <c r="F46" i="7"/>
  <c r="AC13" i="6"/>
  <c r="A14" i="8"/>
  <c r="A14" i="7"/>
  <c r="Z19" i="6"/>
  <c r="C26" i="7" l="1"/>
  <c r="G46" i="7" s="1"/>
  <c r="C24" i="7"/>
  <c r="G44" i="7" s="1"/>
  <c r="F36" i="7"/>
  <c r="A36" i="7"/>
  <c r="C22" i="7"/>
  <c r="G42" i="7" s="1"/>
  <c r="C12" i="7"/>
  <c r="G32" i="7" s="1"/>
  <c r="E5" i="7"/>
  <c r="F38" i="7"/>
  <c r="A38" i="7"/>
  <c r="C25" i="7"/>
  <c r="G45" i="7" s="1"/>
  <c r="B22" i="7"/>
  <c r="B42" i="7" s="1"/>
  <c r="A34" i="7"/>
  <c r="F34" i="7"/>
  <c r="B14" i="7"/>
  <c r="B34" i="7" s="1"/>
  <c r="A31" i="7"/>
  <c r="F31" i="7"/>
  <c r="C10" i="8"/>
  <c r="Y9" i="6"/>
  <c r="S9" i="6"/>
  <c r="AC9" i="6"/>
  <c r="Y7" i="6"/>
  <c r="Y19" i="6"/>
  <c r="Y15" i="6"/>
  <c r="F32" i="7"/>
  <c r="A32" i="7"/>
  <c r="A43" i="7"/>
  <c r="F43" i="7"/>
  <c r="C19" i="7"/>
  <c r="G39" i="7" s="1"/>
  <c r="AB18" i="6"/>
  <c r="C13" i="7"/>
  <c r="G33" i="7" s="1"/>
  <c r="C11" i="8"/>
  <c r="AC10" i="6"/>
  <c r="Y10" i="6"/>
  <c r="S11" i="6"/>
  <c r="S10" i="6"/>
  <c r="AB11" i="6"/>
  <c r="A37" i="7"/>
  <c r="F37" i="7"/>
  <c r="C17" i="8"/>
  <c r="Y16" i="6"/>
  <c r="S16" i="6"/>
  <c r="AC16" i="6"/>
  <c r="E9" i="8"/>
  <c r="Z8" i="6"/>
  <c r="AD8" i="6"/>
  <c r="T8" i="6"/>
  <c r="C17" i="7"/>
  <c r="G37" i="7" s="1"/>
  <c r="B19" i="7"/>
  <c r="B39" i="7" s="1"/>
  <c r="F42" i="7"/>
  <c r="A42" i="7"/>
  <c r="Z14" i="6"/>
  <c r="E10" i="8"/>
  <c r="Z9" i="6"/>
  <c r="T9" i="6"/>
  <c r="AD9" i="6"/>
  <c r="Z4" i="6"/>
  <c r="AB16" i="6"/>
  <c r="AB4" i="6"/>
  <c r="AB5" i="6"/>
  <c r="AB6" i="6"/>
  <c r="AD13" i="6"/>
  <c r="Z13" i="6"/>
  <c r="E14" i="8"/>
  <c r="T13" i="6"/>
  <c r="S8" i="6"/>
  <c r="AC8" i="6"/>
  <c r="Y8" i="6"/>
  <c r="C9" i="8"/>
  <c r="Y12" i="6"/>
  <c r="AB14" i="6"/>
  <c r="T14" i="6"/>
  <c r="E4" i="7" s="1"/>
  <c r="AB15" i="6"/>
  <c r="F44" i="7"/>
  <c r="A44" i="7"/>
  <c r="B25" i="7"/>
  <c r="B45" i="7" s="1"/>
  <c r="F35" i="7"/>
  <c r="A35" i="7"/>
  <c r="AB10" i="6"/>
  <c r="E8" i="8"/>
  <c r="AD7" i="6"/>
  <c r="T7" i="6"/>
  <c r="Z7" i="6"/>
  <c r="C23" i="7"/>
  <c r="G43" i="7" s="1"/>
  <c r="B12" i="7"/>
  <c r="B32" i="7" s="1"/>
  <c r="AB17" i="6"/>
  <c r="F39" i="7"/>
  <c r="A39" i="7"/>
  <c r="Y14" i="6"/>
  <c r="B13" i="7"/>
  <c r="B33" i="7" s="1"/>
  <c r="S17" i="6"/>
  <c r="C18" i="7"/>
  <c r="G38" i="7" s="1"/>
  <c r="AB7" i="6"/>
  <c r="Y6" i="6"/>
  <c r="B26" i="7"/>
  <c r="B46" i="7" s="1"/>
  <c r="F41" i="7"/>
  <c r="A41" i="7"/>
  <c r="AB9" i="6"/>
  <c r="E6" i="7" l="1"/>
  <c r="E7" i="7" s="1"/>
  <c r="C16" i="7"/>
  <c r="G36" i="7" s="1"/>
  <c r="B24" i="7"/>
  <c r="B44" i="7" s="1"/>
  <c r="B17" i="7"/>
  <c r="B37" i="7" s="1"/>
  <c r="C15" i="7"/>
  <c r="G35" i="7" s="1"/>
  <c r="B15" i="7"/>
  <c r="B35" i="7" s="1"/>
  <c r="C21" i="7"/>
  <c r="G41" i="7" s="1"/>
  <c r="C14" i="7"/>
  <c r="G34" i="7" s="1"/>
  <c r="B18" i="7"/>
  <c r="B38" i="7" s="1"/>
  <c r="B4" i="7"/>
  <c r="B5" i="7"/>
  <c r="C20" i="7"/>
  <c r="G40" i="7" s="1"/>
  <c r="B23" i="7"/>
  <c r="B43" i="7" s="1"/>
  <c r="B16" i="7"/>
  <c r="B36" i="7" s="1"/>
  <c r="H44" i="7" l="1"/>
  <c r="H41" i="7"/>
  <c r="H38" i="7"/>
  <c r="H35" i="7"/>
  <c r="H32" i="7"/>
  <c r="H45" i="7"/>
  <c r="H42" i="7"/>
  <c r="H39" i="7"/>
  <c r="H36" i="7"/>
  <c r="H33" i="7"/>
  <c r="H37" i="7"/>
  <c r="H43" i="7"/>
  <c r="H40" i="7"/>
  <c r="H46" i="7"/>
  <c r="H34" i="7"/>
  <c r="H31" i="7"/>
  <c r="B6" i="7"/>
  <c r="B8" i="7" s="1"/>
  <c r="B7" i="7"/>
  <c r="E8" i="7"/>
  <c r="V8" i="6" s="1"/>
  <c r="E15" i="7" s="1"/>
  <c r="D46" i="7" l="1"/>
  <c r="D43" i="7"/>
  <c r="D40" i="7"/>
  <c r="D37" i="7"/>
  <c r="D34" i="7"/>
  <c r="D31" i="7"/>
  <c r="D44" i="7"/>
  <c r="D41" i="7"/>
  <c r="D38" i="7"/>
  <c r="D35" i="7"/>
  <c r="D32" i="7"/>
  <c r="D45" i="7"/>
  <c r="D42" i="7"/>
  <c r="D39" i="7"/>
  <c r="D36" i="7"/>
  <c r="D33" i="7"/>
  <c r="C46" i="7"/>
  <c r="C43" i="7"/>
  <c r="C40" i="7"/>
  <c r="C37" i="7"/>
  <c r="C34" i="7"/>
  <c r="C31" i="7"/>
  <c r="C44" i="7"/>
  <c r="C41" i="7"/>
  <c r="C38" i="7"/>
  <c r="C35" i="7"/>
  <c r="C32" i="7"/>
  <c r="C39" i="7"/>
  <c r="C36" i="7"/>
  <c r="C42" i="7"/>
  <c r="C45" i="7"/>
  <c r="C33" i="7"/>
  <c r="U13" i="6"/>
  <c r="D20" i="7" s="1"/>
  <c r="U14" i="6"/>
  <c r="D21" i="7" s="1"/>
  <c r="U5" i="6"/>
  <c r="D12" i="7" s="1"/>
  <c r="U18" i="6"/>
  <c r="D25" i="7" s="1"/>
  <c r="U19" i="6"/>
  <c r="D26" i="7" s="1"/>
  <c r="U7" i="6"/>
  <c r="D14" i="7" s="1"/>
  <c r="U12" i="6"/>
  <c r="D19" i="7" s="1"/>
  <c r="U6" i="6"/>
  <c r="D13" i="7" s="1"/>
  <c r="U15" i="6"/>
  <c r="D22" i="7" s="1"/>
  <c r="U8" i="6"/>
  <c r="D15" i="7" s="1"/>
  <c r="U16" i="6"/>
  <c r="D23" i="7" s="1"/>
  <c r="U11" i="6"/>
  <c r="D18" i="7" s="1"/>
  <c r="U9" i="6"/>
  <c r="D16" i="7" s="1"/>
  <c r="U17" i="6"/>
  <c r="D24" i="7" s="1"/>
  <c r="U10" i="6"/>
  <c r="D17" i="7" s="1"/>
  <c r="I44" i="7"/>
  <c r="I41" i="7"/>
  <c r="I38" i="7"/>
  <c r="I35" i="7"/>
  <c r="I32" i="7"/>
  <c r="I45" i="7"/>
  <c r="I42" i="7"/>
  <c r="I39" i="7"/>
  <c r="I36" i="7"/>
  <c r="I33" i="7"/>
  <c r="I46" i="7"/>
  <c r="I43" i="7"/>
  <c r="I40" i="7"/>
  <c r="I37" i="7"/>
  <c r="I34" i="7"/>
  <c r="I31" i="7"/>
  <c r="V17" i="6"/>
  <c r="E24" i="7" s="1"/>
  <c r="V11" i="6"/>
  <c r="E18" i="7" s="1"/>
  <c r="V12" i="6"/>
  <c r="E19" i="7" s="1"/>
  <c r="V7" i="6"/>
  <c r="E14" i="7" s="1"/>
  <c r="V15" i="6"/>
  <c r="E22" i="7" s="1"/>
  <c r="V16" i="6"/>
  <c r="E23" i="7" s="1"/>
  <c r="V5" i="6"/>
  <c r="E12" i="7" s="1"/>
  <c r="V10" i="6"/>
  <c r="E17" i="7" s="1"/>
  <c r="V18" i="6"/>
  <c r="E25" i="7" s="1"/>
  <c r="V13" i="6"/>
  <c r="E20" i="7" s="1"/>
  <c r="V9" i="6"/>
  <c r="E16" i="7" s="1"/>
  <c r="V19" i="6"/>
  <c r="E26" i="7" s="1"/>
  <c r="V14" i="6"/>
  <c r="E21" i="7" s="1"/>
  <c r="V6" i="6"/>
  <c r="E13" i="7" s="1"/>
</calcChain>
</file>

<file path=xl/sharedStrings.xml><?xml version="1.0" encoding="utf-8"?>
<sst xmlns="http://schemas.openxmlformats.org/spreadsheetml/2006/main" count="585" uniqueCount="373">
  <si>
    <t>蓟州区旅游经济：模型选择与数据预处理工作簿</t>
  </si>
  <si>
    <t>用途：完成问题1—3的两套模型方案比较、缺失补全、异常检测、转换处理和数据补充规划。所有假设补全值均与官方观测分列保存，不会伪装成官方实际值。</t>
  </si>
  <si>
    <t>关键数据诊断</t>
  </si>
  <si>
    <t>年度样本期数</t>
  </si>
  <si>
    <t>游客量原始缺失</t>
  </si>
  <si>
    <t>综合收入原始缺失</t>
  </si>
  <si>
    <t>同比IQR异常年份</t>
  </si>
  <si>
    <t>结论先行</t>
  </si>
  <si>
    <t>问题1主模型</t>
  </si>
  <si>
    <t>分段Gompertz＋疫情干预＋滚动更新</t>
  </si>
  <si>
    <t>原因</t>
  </si>
  <si>
    <t>短样本、趋势明显、必须解释结构冲击</t>
  </si>
  <si>
    <t>问题2主模型</t>
  </si>
  <si>
    <t>干预ARIMAX＋阻尼ETS滚动组合</t>
  </si>
  <si>
    <t>低参数、可检验、可给95%区间且能利用宏观变量</t>
  </si>
  <si>
    <t>问题3主模型</t>
  </si>
  <si>
    <t>动态弹性情景＋LHS Monte Carlo</t>
  </si>
  <si>
    <t>能把政策语言转为参数区间并直接生成敏感性排序</t>
  </si>
  <si>
    <t>不建议作为主模型</t>
  </si>
  <si>
    <t>LSTM、Transformer、XGBoost</t>
  </si>
  <si>
    <t>仅16期年度样本，深度/树模型极易过拟合且难以形成可信区间</t>
  </si>
  <si>
    <t>数据文件与复核入口</t>
  </si>
  <si>
    <t>文件/入口</t>
  </si>
  <si>
    <t>作用</t>
  </si>
  <si>
    <t>记录数</t>
  </si>
  <si>
    <t>时间范围</t>
  </si>
  <si>
    <t>口径提醒</t>
  </si>
  <si>
    <t>来源</t>
  </si>
  <si>
    <t>获取日期</t>
  </si>
  <si>
    <t>备注</t>
  </si>
  <si>
    <t>official_annual_summary_2010_2025.csv</t>
  </si>
  <si>
    <t>年度优选宽表</t>
  </si>
  <si>
    <t>2010—2025</t>
  </si>
  <si>
    <t>不替代长表版本信息</t>
  </si>
  <si>
    <t>本地数据目录</t>
  </si>
  <si>
    <t>2026-08-17</t>
  </si>
  <si>
    <t>本工作簿原始年度数据来源</t>
  </si>
  <si>
    <t>official_tourism_observations_2010_2025.csv</t>
  </si>
  <si>
    <t>旅游长表</t>
  </si>
  <si>
    <t>直接收入与综合收入不可拼接</t>
  </si>
  <si>
    <t>含目标值和五年累计值</t>
  </si>
  <si>
    <t>official_macro_observations_2010_2025.csv</t>
  </si>
  <si>
    <t>GDP与第三产业长表</t>
  </si>
  <si>
    <t>初值、预计值、年鉴修订值并存</t>
  </si>
  <si>
    <t>优先最终/修订值</t>
  </si>
  <si>
    <t>official_related_observations_2014_2025.csv</t>
  </si>
  <si>
    <t>相关解释变量</t>
  </si>
  <si>
    <t>2014—2025</t>
  </si>
  <si>
    <t>多数指标覆盖不完整</t>
  </si>
  <si>
    <t>用于候选外生变量筛选</t>
  </si>
  <si>
    <t>蓟州区政府数据发布</t>
  </si>
  <si>
    <t>官方补数入口</t>
  </si>
  <si>
    <t>https://www.tjjz.gov.cn/zwgk/sjfb/</t>
  </si>
  <si>
    <t>天津统计年鉴</t>
  </si>
  <si>
    <t>宏观修订值</t>
  </si>
  <si>
    <t>https://stats.tj.gov.cn/tjsj_52032/tjnj/</t>
  </si>
  <si>
    <t>天津市文旅局统计信息</t>
  </si>
  <si>
    <t>文旅供给与结构校验</t>
  </si>
  <si>
    <t>https://whly.tj.gov.cn/ZWGKYXXGK1640/ZFXXGK5456_1/FDZDGKNR5153/TJXX3610/</t>
  </si>
  <si>
    <t>问题1—3模型方案比较</t>
  </si>
  <si>
    <t>选择原则：主方案优先满足短样本稳定性、统计检验和可解释性；创新方案用于不确定性表达、稳健性验证和答辩展示，不以复杂度替代证据。</t>
  </si>
  <si>
    <t>小问</t>
  </si>
  <si>
    <t>方案</t>
  </si>
  <si>
    <t>推荐模型</t>
  </si>
  <si>
    <t>核心原理</t>
  </si>
  <si>
    <t>适配性</t>
  </si>
  <si>
    <t>创新点</t>
  </si>
  <si>
    <t>局限性</t>
  </si>
  <si>
    <t>问题1</t>
  </si>
  <si>
    <t>方案1｜基础适配（主推荐）</t>
  </si>
  <si>
    <t>分段Gompertz增长模型＋疫情干预项＋滚动窗口更新</t>
  </si>
  <si>
    <t>Gompertz曲线把旅游经济理解为由较快增长逐步转向容量约束的过程；在疫情年份加入干预项，并在疫情前、冲击期和恢复期允许增长速度发生变化。每获得一个新年度数据就向前滚动窗口重新估计参数，使基准曲线不会长期受早期样本支配。</t>
  </si>
  <si>
    <t>2010—2019年游客量和综合收入整体增长，而2020—2022年存在结构冲击，2023年后又快速恢复。模型参数少、经济含义清楚，适合16期年度短样本，也能满足问题1“简单增长模型＋适用性评价”的要求。</t>
  </si>
  <si>
    <t>不再用一条全时期曲线硬拟合，而是引入变点、疫情干预和滚动更新；估计时按observed、revised、inferred、target等状态设置质量权重，降低低证据数据对曲线的影响。</t>
  </si>
  <si>
    <t>容量上限对样本末端较敏感；2020—2022和2025含假设补全值，可能改变恢复斜率；模型仍主要描述趋势，不能充分解释政策、客源和新业态之间的非线性作用。</t>
  </si>
  <si>
    <t>方案2｜创新融合（增强分析）</t>
  </si>
  <si>
    <t>质量加权贝叶斯局部线性趋势＋隐马尔可夫状态切换</t>
  </si>
  <si>
    <t>把无法直接观察的真实旅游趋势看成随时间缓慢变化的状态，再用隐马尔可夫链在“常态增长、外部冲击、恢复反弹”三种状态间切换。不同来源的数据设置不同观测误差，最终得到趋势、状态概率及其可信区间。</t>
  </si>
  <si>
    <t>官方数据同时包含修订值、约数、反推值、累计值和目标值，且存在多处缺失。状态空间模型能够自然处理缺失，贝叶斯框架能把证据等级转化为不确定性，状态切换则对应疫情与恢复阶段。</t>
  </si>
  <si>
    <t>将数据来源质量直接写入观测方差，而非把所有数值等权处理；同时输出每年处于不同发展状态的概率，避免人为先固定断点。</t>
  </si>
  <si>
    <t>16个年度样本不足以稳定估计过多转移概率，结果对先验分布敏感；模型解释和实现难度高于分段曲线，适合作为稳健性或答辩亮点，不宜单独承担主结论。</t>
  </si>
  <si>
    <t>问题2</t>
  </si>
  <si>
    <t>干预ARIMAX＋阻尼ETS的滚动误差加权组合</t>
  </si>
  <si>
    <t>ARIMAX利用游客量或收入自身的滞后关系，并加入GDP、第三产业和疫情干预变量解释变化；阻尼ETS负责捕捉平滑但逐步放缓的趋势。通过滚动预测计算两类模型近期误差，误差小的模型获得更高组合权重，再用残差模拟形成95%预测区间。</t>
  </si>
  <si>
    <t>年度样本短且主要目标只有游客量和综合收入，低参数模型比深度学习稳定；宏观解释变量虽不完整但可形成少量核心因子，疫情虚拟变量可以阻止极端年份扭曲长期系数。</t>
  </si>
  <si>
    <t>在经典ARIMAX基础上加入对数变换、口径断点和疫情干预，并让ARIMAX与ETS权重随滚动误差动态变化，而不是固定平均；区间同时传播残差与外生变量情景的不确定性。</t>
  </si>
  <si>
    <t>ARIMAX需要给出2026—2030年外生变量路径；GDP与第三产业高度相关，可能产生共线性；验证期较短使组合权重波动，应限制滞后阶数并报告权重敏感性。</t>
  </si>
  <si>
    <t>GM(1,N)小样本先验＋贝叶斯结构时间序列（BSTS）动态融合</t>
  </si>
  <si>
    <t>灰色GM(1,N)先从少量、不完全信息中给出稳定的长期趋势，再把这一趋势作为BSTS的先验或一个候选预测源；BSTS进一步分解局部趋势、外生回归和疫情干预，利用贝叶斯模型平均得到最终预测及后验区间。</t>
  </si>
  <si>
    <t>灰色模型对小样本和缺失较宽容，BSTS能够处理趋势随时间变化及参数不确定性，适合本题“样本少、来源质量不一、冲击明显、必须给区间”的组合特征。</t>
  </si>
  <si>
    <t>将灰色系统的弱信息预测与贝叶斯状态空间融合，并按证据等级调整观测噪声；不是简单取均值，而是根据后验概率动态分配模型权重。</t>
  </si>
  <si>
    <t>GM模型的近指数累积规律可能与疫情冲击冲突；BSTS结果受先验和变量选择影响，短样本下后验区间可能较宽；实现和解释成本高于ARIMAX＋ETS。</t>
  </si>
  <si>
    <t>问题3</t>
  </si>
  <si>
    <t>动态弹性情景模型＋拉丁超立方Monte Carlo＋龙卷风敏感性</t>
  </si>
  <si>
    <t>以问题2基准预测为自然延续路径，把政策投入、核心客源和新业态指数的变化乘以相应弹性，形成乐观、基准和悲观路径；再在每个参数区间内进行拉丁超立方抽样，观察游客量和收入分布，并按输出变化幅度排序关键因素。</t>
  </si>
  <si>
    <t>题目明确要求三情景、敏感性和定量建议，但历史政策变量很稀疏。弹性模型参数少、透明，允许把规划目标和专家区间直接转为可审计假设，适合校赛论文时间限制。</t>
  </si>
  <si>
    <t>弹性不设为永久常数，而是加入政策生效时滞和逐年动态权重；联合抽样保留因素间相关性，相比单纯上下浮动10%的方法能给出概率分布和超标风险。</t>
  </si>
  <si>
    <t>弹性多由短历史或专家区间估计，因果解释有限；若政策、客源和新业态存在强交互，单一弹性会低估非线性；建议需同时报告参数区间而非只给一个点值。</t>
  </si>
  <si>
    <t>方案2｜创新融合（答辩亮点）</t>
  </si>
  <si>
    <t>系统动力学（SD）＋贝叶斯网络风险传播＋多目标鲁棒优化</t>
  </si>
  <si>
    <t>系统动力学描述游客、接待能力、消费、财政再投入和新业态供给之间的反馈；贝叶斯网络计算宏观下行或公共事件向客流和收入传播的概率；多目标鲁棒优化在不同风险情景下选择兼顾收入增长、投入成本和波动风险的政策组合。</t>
  </si>
  <si>
    <t>问题3不仅要求预测，还要求把政策转成3—5条可操作建议。该组合可以表现“投入改善供给、供给吸引客流、收入反哺投入”的循环，也能把突发事件概率纳入政策方案比较。</t>
  </si>
  <si>
    <t>把因果反馈、概率风险和决策优化连成一体，使模型输出从情景曲线升级为政策组合；可使用分布鲁棒约束避免建议只在单一预测路径上有效。</t>
  </si>
  <si>
    <t>系统结构、条件概率和成本约束需要大量补充数据或专家赋值，主观性较强；若参数未经校准，复杂模型可能制造虚假的精确性，建议作为扩展模型并用基础方案交叉验证。</t>
  </si>
  <si>
    <t>模型应用流程与决策节点</t>
  </si>
  <si>
    <t>问题1：历史规律与基准增长模型</t>
  </si>
  <si>
    <t>输入多版本长表
保留证据等级</t>
  </si>
  <si>
    <t>→</t>
  </si>
  <si>
    <t>口径是否一致？
否：分序列/桥接
是：继续</t>
  </si>
  <si>
    <t>缺失是否位于疫情期？
是：累计约束补全
否：插值/比例桥接</t>
  </si>
  <si>
    <t>变点是否显著？
是：分段Gompertz
否：单段增长</t>
  </si>
  <si>
    <t>输出趋势、冲击幅度
适用区间与误差</t>
  </si>
  <si>
    <t>创新分支：若需同时表达来源质量和状态概率，则以质量加权贝叶斯局部趋势＋隐马尔可夫状态切换进行稳健性验证。</t>
  </si>
  <si>
    <t>问题2：游客量与综合收入预测</t>
  </si>
  <si>
    <t>输入清洗序列
对数/平稳性检查</t>
  </si>
  <si>
    <t>样本是否少于30期？
是：限制低阶模型
否：再考虑复杂模型</t>
  </si>
  <si>
    <t>未来外生变量可得？
是：ARIMAX
否：ETS/灰色模型</t>
  </si>
  <si>
    <t>残差是否白噪声？
否：调阶/变换
是：滚动验证</t>
  </si>
  <si>
    <t>误差互补？
是：动态加权组合
否：选最优单模</t>
  </si>
  <si>
    <t>输出：2026—2030点预测、95%预测区间、MAE/RMSE/MAPE，以及与问题1基准模型的统一验证集比较。</t>
  </si>
  <si>
    <t>问题3：情景、敏感性与量化建议</t>
  </si>
  <si>
    <t>承接问题2
建立基准预测路径</t>
  </si>
  <si>
    <t>驱动因素可量化？
是：估计弹性
否：标准化指数</t>
  </si>
  <si>
    <t>参数是否在历史/规划边界？
否：重新标定
是：三情景赋值</t>
  </si>
  <si>
    <t>非线性反馈显著？
是：SD＋贝叶斯网络
否：动态弹性</t>
  </si>
  <si>
    <t>LHS Monte Carlo
敏感性排序
鲁棒建议</t>
  </si>
  <si>
    <t>决策输出必须形成“因素—政策工具—投入强度—实施期—预期客流/收入增量—监测指标”的闭环。</t>
  </si>
  <si>
    <t>官方优选年度宽表（原始层，不做覆盖）</t>
  </si>
  <si>
    <t>来源：official_annual_summary_2010_2025.csv。空白保持为空；target、inferred、provisional等状态不得当作同等质量的官方实际值。</t>
  </si>
  <si>
    <t>年份</t>
  </si>
  <si>
    <t>游客量(万人次)</t>
  </si>
  <si>
    <t>游客状态</t>
  </si>
  <si>
    <t>直接收入(亿元)</t>
  </si>
  <si>
    <t>直接收入状态</t>
  </si>
  <si>
    <t>综合收入(亿元)</t>
  </si>
  <si>
    <t>综合收入状态</t>
  </si>
  <si>
    <t>GDP(亿元)</t>
  </si>
  <si>
    <t>GDP状态</t>
  </si>
  <si>
    <t>第三产业(亿元)</t>
  </si>
  <si>
    <t>第三产业状态</t>
  </si>
  <si>
    <t>来源ID</t>
  </si>
  <si>
    <t>质量说明</t>
  </si>
  <si>
    <t>observed_rounded</t>
  </si>
  <si>
    <t>inferred_from_yoy</t>
  </si>
  <si>
    <t>official_yearbook</t>
  </si>
  <si>
    <t>gov_jz_report_2011;gov_jz_bulletin_2011;gov_tj_yearbook_2011_jixian</t>
  </si>
  <si>
    <t>收入为同比反推；游客量为工作报告约数</t>
  </si>
  <si>
    <t>observed</t>
  </si>
  <si>
    <t>gov_jz_bulletin_2011;gov_tj_yearbook_2012_jixian</t>
  </si>
  <si>
    <t>宏观指标采用后版年鉴回列值并保留公报初值于宏观长表</t>
  </si>
  <si>
    <t>provisional_estimate</t>
  </si>
  <si>
    <t>gov_jz_report_2013</t>
  </si>
  <si>
    <t>旅游为工作报告回顾值；GDP为预计值且待后续年鉴复核</t>
  </si>
  <si>
    <t>observed_cached</t>
  </si>
  <si>
    <t>inferred_from_official_bulletin</t>
  </si>
  <si>
    <t>gov_jz_tourism_summary_2013;gov_jz_bulletin_2014</t>
  </si>
  <si>
    <t>旅游官方详情页当前下线；宏观值由2014公报回列信息推导</t>
  </si>
  <si>
    <t>observed_revised</t>
  </si>
  <si>
    <t>official_initial</t>
  </si>
  <si>
    <t>gov_jz_tourism_stats_2015;gov_jz_bulletin_2014</t>
  </si>
  <si>
    <t>游客和直接收入采用下一年统计表回列修订值</t>
  </si>
  <si>
    <t>observed_supporting_attachment</t>
  </si>
  <si>
    <t>gov_jz_tourism_stats_2016;gov_jz_tourism_attachment_2015;gov_jz_report_2016</t>
  </si>
  <si>
    <t>综合收入证据层级较低；GDP为十二五回顾值</t>
  </si>
  <si>
    <t>gov_jz_tourism_stats_2017;gov_jz_report_2017</t>
  </si>
  <si>
    <t>未找到同口径综合收入；GDP为报告预计值</t>
  </si>
  <si>
    <t>gov_jz_tourism_stats_2017;gov_jz_report_2018</t>
  </si>
  <si>
    <t>工作报告游客约数2400未覆盖统计表精确值2392</t>
  </si>
  <si>
    <t>gov_jz_report_2019</t>
  </si>
  <si>
    <t>GDP为工作报告预计值</t>
  </si>
  <si>
    <t>gov_jz_report_2020;gov_jz_bulletin_2019</t>
  </si>
  <si>
    <t>宏观序列与2018年前口径存在明显断点</t>
  </si>
  <si>
    <t>gov_jz_bulletin_2020</t>
  </si>
  <si>
    <t>疫情年份未找到可核验的年度旅游总量</t>
  </si>
  <si>
    <t>official_revised</t>
  </si>
  <si>
    <t>gov_jz_report_2022;gov_jz_yearbook_2022</t>
  </si>
  <si>
    <t>未找到精确游客量；宏观指标采用后版年鉴修订值</t>
  </si>
  <si>
    <t>gov_jz_yearbook_2023</t>
  </si>
  <si>
    <t>未找到可核验的年度游客量及实际综合收入</t>
  </si>
  <si>
    <t>official_final</t>
  </si>
  <si>
    <t>gov_jz_report_2024;gov_jz_yearbook_2024</t>
  </si>
  <si>
    <t>宏观指标采用2024年鉴最终核实值</t>
  </si>
  <si>
    <t>gov_jz_report_2025;gov_jz_yearbook_2024</t>
  </si>
  <si>
    <t>宏观指标采用2024年鉴现价值</t>
  </si>
  <si>
    <t>gov_jz_bulletin_2025</t>
  </si>
  <si>
    <t>政府报告仅给2025年目标和2021至2025累计值；不作为年度实际</t>
  </si>
  <si>
    <t>缺失补全参数与约束（黄色单元格可编辑）</t>
  </si>
  <si>
    <t>这些数值是建模假设或官方累计/目标约束，不是新增官方年度实际。修改黄色输入后，预处理结果、异常检测和趋势图会联动更新。</t>
  </si>
  <si>
    <t>参数</t>
  </si>
  <si>
    <t>数值</t>
  </si>
  <si>
    <t>单位</t>
  </si>
  <si>
    <t>类型</t>
  </si>
  <si>
    <t>依据/计算逻辑</t>
  </si>
  <si>
    <t>可编辑</t>
  </si>
  <si>
    <t>建议敏感性范围</t>
  </si>
  <si>
    <t>2021—2025游客累计</t>
  </si>
  <si>
    <t>万人次</t>
  </si>
  <si>
    <t>官方累计约束</t>
  </si>
  <si>
    <t>政府报告五年累计值，不拆作单年观测</t>
  </si>
  <si>
    <t>否</t>
  </si>
  <si>
    <t>固定</t>
  </si>
  <si>
    <t>2021—2025综合收入累计</t>
  </si>
  <si>
    <t>亿元</t>
  </si>
  <si>
    <t>政府报告五年累计值</t>
  </si>
  <si>
    <t>2025游客目标替代值</t>
  </si>
  <si>
    <t>假设输入</t>
  </si>
  <si>
    <t>无年度实际值时暂以目标代替</t>
  </si>
  <si>
    <t>是</t>
  </si>
  <si>
    <t>±5%至±10%</t>
  </si>
  <si>
    <t>2025综合收入目标替代值</t>
  </si>
  <si>
    <t>2020游客保留率</t>
  </si>
  <si>
    <t>%</t>
  </si>
  <si>
    <t>相对2019年，用于刻画首年疫情冲击</t>
  </si>
  <si>
    <t>45%—65%</t>
  </si>
  <si>
    <t>2020人均消费保留率</t>
  </si>
  <si>
    <t>相对2019人均旅游消费</t>
  </si>
  <si>
    <t>80%—100%</t>
  </si>
  <si>
    <t>综合收入/直接收入桥接倍数</t>
  </si>
  <si>
    <t>倍</t>
  </si>
  <si>
    <t>2011、2013—2015、2017年关系约为5倍</t>
  </si>
  <si>
    <t>4.8—5.2</t>
  </si>
  <si>
    <t>2021综合收入观测</t>
  </si>
  <si>
    <t>官方观测</t>
  </si>
  <si>
    <t>用于分配2021—2022游客余量</t>
  </si>
  <si>
    <t>2023游客量观测</t>
  </si>
  <si>
    <t>五年累计约束已知项</t>
  </si>
  <si>
    <t>2024游客量观测</t>
  </si>
  <si>
    <t>2023综合收入观测</t>
  </si>
  <si>
    <t>2024综合收入观测</t>
  </si>
  <si>
    <t>2021—2022游客余量</t>
  </si>
  <si>
    <t>公式输出</t>
  </si>
  <si>
    <t>五年累计－2023－2024－2025替代值</t>
  </si>
  <si>
    <t>2022综合收入</t>
  </si>
  <si>
    <t>五年累计－2021－2023－2024－2025替代值</t>
  </si>
  <si>
    <t>2021游客量</t>
  </si>
  <si>
    <t>游客余量按2021/2022收入占比分配</t>
  </si>
  <si>
    <t>2022游客量</t>
  </si>
  <si>
    <t>2020游客量</t>
  </si>
  <si>
    <t>2019游客量×2020保留率</t>
  </si>
  <si>
    <t>2020综合收入</t>
  </si>
  <si>
    <t>2019人均消费×2020游客量×消费保留率</t>
  </si>
  <si>
    <t>2016综合收入</t>
  </si>
  <si>
    <t>2016直接收入×桥接倍数</t>
  </si>
  <si>
    <t>2017 GDP</t>
  </si>
  <si>
    <t>2016与2018同口径段线性插值</t>
  </si>
  <si>
    <t>建模主数据：原始值、补全值、异常标记与转换结果</t>
  </si>
  <si>
    <t>规则：官方值优先；疫情期缺失采用累计约束＋明确假设；常规缺失采用比例桥接或同口径线性插值。IQR异常只标记不删除。Z-score用于回归/组合模型，LN用于稳定方差。</t>
  </si>
  <si>
    <t>游客原始</t>
  </si>
  <si>
    <t>直接收入原始</t>
  </si>
  <si>
    <t>综合收入原始</t>
  </si>
  <si>
    <t>GDP原始</t>
  </si>
  <si>
    <t>第三产业原始</t>
  </si>
  <si>
    <t>游客清洗值</t>
  </si>
  <si>
    <t>游客处理方法</t>
  </si>
  <si>
    <t>综合收入清洗值</t>
  </si>
  <si>
    <t>收入处理方法</t>
  </si>
  <si>
    <t>GDP清洗值</t>
  </si>
  <si>
    <t>GDP处理方法</t>
  </si>
  <si>
    <t>第三产业清洗值</t>
  </si>
  <si>
    <t>第三产业处理方法</t>
  </si>
  <si>
    <t>游客同比</t>
  </si>
  <si>
    <t>收入同比</t>
  </si>
  <si>
    <t>游客IQR判定</t>
  </si>
  <si>
    <t>收入IQR判定</t>
  </si>
  <si>
    <t>疫情哑变量</t>
  </si>
  <si>
    <t>GDP口径断点</t>
  </si>
  <si>
    <t>游客Z</t>
  </si>
  <si>
    <t>收入Z</t>
  </si>
  <si>
    <t>GDP Z</t>
  </si>
  <si>
    <t>第三产业Z</t>
  </si>
  <si>
    <t>LN游客</t>
  </si>
  <si>
    <t>LN收入</t>
  </si>
  <si>
    <t>保留官方优选值</t>
  </si>
  <si>
    <t>第三产业/GDP占比线性插值</t>
  </si>
  <si>
    <t>2014—2019占比桥接</t>
  </si>
  <si>
    <t>直接收入×历史桥接倍数</t>
  </si>
  <si>
    <t>同口径段线性插值</t>
  </si>
  <si>
    <t>2019×疫情保留率（假设）</t>
  </si>
  <si>
    <t>2019人均消费×游客量×保留率</t>
  </si>
  <si>
    <t>累计余量按收入份额分配</t>
  </si>
  <si>
    <t>五年累计约束反推</t>
  </si>
  <si>
    <t>目标值替代，非年度实际</t>
  </si>
  <si>
    <t>异常检测：在同比序列上使用IQR，不删除真实冲击</t>
  </si>
  <si>
    <t>理由：原序列带长期趋势，在水平值上做Z-score会把高增长年份误判为异常；因此以同比变化做IQR检测。|Z|≥3仅作辅助。2020、2022、2023分别对应疫情冲击、再度收缩和恢复反弹，均保留。</t>
  </si>
  <si>
    <t>游客量同比Q1</t>
  </si>
  <si>
    <t>收入同比Q1</t>
  </si>
  <si>
    <t>游客量同比Q3</t>
  </si>
  <si>
    <t>收入同比Q3</t>
  </si>
  <si>
    <t>游客量同比IQR</t>
  </si>
  <si>
    <t>收入同比IQR</t>
  </si>
  <si>
    <t>游客量下界</t>
  </si>
  <si>
    <t>收入下界</t>
  </si>
  <si>
    <t>游客量上界</t>
  </si>
  <si>
    <t>收入上界</t>
  </si>
  <si>
    <t>游客量同比</t>
  </si>
  <si>
    <t>综合收入同比</t>
  </si>
  <si>
    <t>游客判定</t>
  </si>
  <si>
    <t>收入判定</t>
  </si>
  <si>
    <t>IQR下界</t>
  </si>
  <si>
    <t>IQR上界</t>
  </si>
  <si>
    <t>原始序列与清洗序列对照</t>
  </si>
  <si>
    <t>图中原始序列保留缺口；清洗序列使用补充假设补全。2020—2022的变化不做平滑删除，正式模型必须加入疫情/恢复状态。</t>
  </si>
  <si>
    <t>游客清洗</t>
  </si>
  <si>
    <t>收入原始</t>
  </si>
  <si>
    <t>收入清洗</t>
  </si>
  <si>
    <t>必须补充、可选补充与相关指标覆盖</t>
  </si>
  <si>
    <t>原则：必须补充决定模型是否可识别；可选补充只在能够稳定提高样本外预测时纳入。无官方依据的数据不生成伪精确值，必要时使用区间或标准化指数。</t>
  </si>
  <si>
    <t>类别</t>
  </si>
  <si>
    <t>变量/缺口</t>
  </si>
  <si>
    <t>当前状态</t>
  </si>
  <si>
    <t>为什么需要</t>
  </si>
  <si>
    <t>推荐获取途径</t>
  </si>
  <si>
    <t>本轮生成假设</t>
  </si>
  <si>
    <t>不确定性处理</t>
  </si>
  <si>
    <t>必须补充</t>
  </si>
  <si>
    <t>2020、2022、2025年度游客量与综合收入；2021游客量</t>
  </si>
  <si>
    <t>年度实际值缺失；仅有2021—2025累计值、2025目标值及部分年度收入</t>
  </si>
  <si>
    <t>两项核心因变量必须形成连续序列，且疫情冲击幅度直接影响趋势与预测区间</t>
  </si>
  <si>
    <t>蓟州区政府工作报告/统计公报原件、区文旅局年度总结、天津市文旅局；优先申请内部统计表</t>
  </si>
  <si>
    <t>用五年累计约束、2025目标替代值和2021/2022收入比例分配游客余量；所有结果标记为假设补全</t>
  </si>
  <si>
    <t>对2025目标替代值做±5%至±10%敏感性分析，并重新分配2021—2022余量</t>
  </si>
  <si>
    <t>2016年同口径旅游综合收入</t>
  </si>
  <si>
    <t>仅有旅游直接收入21.9172亿元</t>
  </si>
  <si>
    <t>疫情前趋势模型需要连续收入序列</t>
  </si>
  <si>
    <t>2017年政府工作报告附件、蓟州区文旅局、后续统计表回列值</t>
  </si>
  <si>
    <t>按2011、2013—2015、2017年综合收入/直接收入约5倍的稳定关系桥接为109.586亿元</t>
  </si>
  <si>
    <t>桥接倍数在4.8—5.2之间扰动</t>
  </si>
  <si>
    <t>旅游收入价格平减指数</t>
  </si>
  <si>
    <t>现有收入均为当年价，未形成实际收入</t>
  </si>
  <si>
    <t>名义价格上涨会夸大旅游经济真实增长</t>
  </si>
  <si>
    <t>国家统计局/天津统计局CPI，优先住宿、餐饮、交通、文娱分项构造旅游价格指数</t>
  </si>
  <si>
    <t>当前工作簿暂保留名义收入；正式建模前以2025年为100进行平减</t>
  </si>
  <si>
    <t>比较综合CPI与旅游分项加权指数两种口径</t>
  </si>
  <si>
    <t>2026—2030政策投入、客源市场和新业态情景参数</t>
  </si>
  <si>
    <t>现有财政功能分类支出不等于旅游专项投入，未来值未给出</t>
  </si>
  <si>
    <t>问题3三情景和量化建议必须有可调参数</t>
  </si>
  <si>
    <t>蓟州区“十五五”规划、财政预算、文旅项目清单、京津冀协同文件；必要时专家打分</t>
  </si>
  <si>
    <t>标准化为基准1.00的指数，乐观/悲观区间由规划目标与历史波动共同设定</t>
  </si>
  <si>
    <t>使用三角分布或PERT分布，报告5%、50%、95%分位数</t>
  </si>
  <si>
    <t>可选补充</t>
  </si>
  <si>
    <t>京津客源占比、移动/高速交通流量、搜索热度</t>
  </si>
  <si>
    <t>现有表中没有年度客源结构与高频需求先行指标</t>
  </si>
  <si>
    <t>可提升客流预测的及时性并解释区域协同效应</t>
  </si>
  <si>
    <t>景区票务与运营商脱敏数据、交通运输部门、高速出入口流量、百度指数/微信指数</t>
  </si>
  <si>
    <t>未生成具体数值，避免用无依据的网络热度替代官方客流</t>
  </si>
  <si>
    <t>先做相关性与滞后检验，再决定是否纳入</t>
  </si>
  <si>
    <t>住宿供给、入住率、重点景区接待量、节假日与天气</t>
  </si>
  <si>
    <t>仅有天津市级星级饭店与A级景区结构校验数据</t>
  </si>
  <si>
    <t>可解释人均消费、新业态供给和季节/节假日波动</t>
  </si>
  <si>
    <t>天津市文旅局、蓟州区文旅局、气象局、酒店协会及重点景区运营数据</t>
  </si>
  <si>
    <t>若无法获得，仅作为情景解释变量，不强行生成年度观测</t>
  </si>
  <si>
    <t>采用区间或等级变量，避免伪造精确值</t>
  </si>
  <si>
    <t>现有相关指标覆盖（只用于筛选，不代表可直接进入模型）</t>
  </si>
  <si>
    <t>指标</t>
  </si>
  <si>
    <t>观测数</t>
  </si>
  <si>
    <t>起始年</t>
  </si>
  <si>
    <t>结束年</t>
  </si>
  <si>
    <t>all_resident_disposable_income</t>
  </si>
  <si>
    <t>cny_per_person</t>
  </si>
  <si>
    <t>culture_tourism_sports_media_expenditure</t>
  </si>
  <si>
    <t>10k_cny</t>
  </si>
  <si>
    <t>fixed_asset_investment</t>
  </si>
  <si>
    <t>100m_cny</t>
  </si>
  <si>
    <t>general_public_budget_expenditure</t>
  </si>
  <si>
    <t>permanent_population</t>
  </si>
  <si>
    <t>10k_persons</t>
  </si>
  <si>
    <t>road_mileage</t>
  </si>
  <si>
    <t>km</t>
  </si>
  <si>
    <t>rural_disposable_income</t>
  </si>
  <si>
    <t>social_retail_sales</t>
  </si>
  <si>
    <t>social_retail_sales_yoy</t>
  </si>
  <si>
    <t>percent</t>
  </si>
  <si>
    <t>urban_disposable_income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</si>
</sst>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00"/>
  </numFmts>
  <fonts count="13">
    <font>
      <sz val="11"/>
      <name val="Carlito"/>
    </font>
    <font>
      <b/>
      <sz val="18"/>
      <color rgb="FFFFFFFF"/>
      <name val="Carlito"/>
    </font>
    <font>
      <sz val="11"/>
      <color rgb="FF16324F"/>
      <name val="Carlito"/>
    </font>
    <font>
      <b/>
      <sz val="12"/>
      <color rgb="FF16324F"/>
      <name val="Carlito"/>
    </font>
    <font>
      <b/>
      <sz val="11"/>
      <color rgb="FF53606B"/>
      <name val="Carlito"/>
    </font>
    <font>
      <b/>
      <sz val="15"/>
      <color rgb="FF16324F"/>
      <name val="Carlito"/>
    </font>
    <font>
      <b/>
      <sz val="11"/>
      <color rgb="FF16324F"/>
      <name val="Carlito"/>
    </font>
    <font>
      <b/>
      <sz val="11"/>
      <color rgb="FF0F6B78"/>
      <name val="Carlito"/>
    </font>
    <font>
      <b/>
      <sz val="11"/>
      <color rgb="FFFFFFFF"/>
      <name val="Carlito"/>
    </font>
    <font>
      <b/>
      <sz val="20"/>
      <color rgb="FF2A6F97"/>
      <name val="Carlito"/>
    </font>
    <font>
      <sz val="11"/>
      <color rgb="FF53606B"/>
      <name val="Carlito"/>
    </font>
    <font>
      <sz val="11"/>
      <name val="Carlito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FFF8DD"/>
      </patternFill>
    </fill>
    <fill>
      <patternFill patternType="solid">
        <fgColor rgb="FFEAF3F8"/>
      </patternFill>
    </fill>
    <fill>
      <patternFill patternType="solid">
        <fgColor rgb="FFFFF2E5"/>
      </patternFill>
    </fill>
    <fill>
      <patternFill patternType="solid">
        <fgColor rgb="FFFCEBE8"/>
      </patternFill>
    </fill>
    <fill>
      <patternFill patternType="solid">
        <fgColor rgb="FF0F6B78"/>
      </patternFill>
    </fill>
    <fill>
      <patternFill patternType="solid">
        <fgColor rgb="FFF3F5F7"/>
      </patternFill>
    </fill>
    <fill>
      <patternFill patternType="solid">
        <fgColor rgb="FFE8F5F1"/>
      </patternFill>
    </fill>
  </fills>
  <borders count="17">
    <border>
      <left/>
      <right/>
      <top/>
      <bottom/>
      <diagonal/>
    </border>
    <border>
      <left style="thin">
        <color rgb="FFD7DEE5"/>
      </left>
      <right/>
      <top style="thin">
        <color rgb="FFD7DEE5"/>
      </top>
      <bottom/>
      <diagonal/>
    </border>
    <border>
      <left/>
      <right style="thin">
        <color rgb="FFD7DEE5"/>
      </right>
      <top style="thin">
        <color rgb="FFD7DEE5"/>
      </top>
      <bottom/>
      <diagonal/>
    </border>
    <border>
      <left style="thin">
        <color rgb="FFD7DEE5"/>
      </left>
      <right/>
      <top/>
      <bottom style="thin">
        <color rgb="FFD7DEE5"/>
      </bottom>
      <diagonal/>
    </border>
    <border>
      <left/>
      <right style="thin">
        <color rgb="FFD7DEE5"/>
      </right>
      <top/>
      <bottom style="thin">
        <color rgb="FFD7DEE5"/>
      </bottom>
      <diagonal/>
    </border>
    <border>
      <left/>
      <right/>
      <top/>
      <bottom style="thin">
        <color rgb="FFD7DEE5"/>
      </bottom>
      <diagonal/>
    </border>
    <border>
      <left/>
      <right/>
      <top style="thin">
        <color rgb="FFD7DEE5"/>
      </top>
      <bottom style="thin">
        <color rgb="FFD7DEE5"/>
      </bottom>
      <diagonal/>
    </border>
    <border>
      <left/>
      <right/>
      <top style="thin">
        <color rgb="FFD7DEE5"/>
      </top>
      <bottom/>
      <diagonal/>
    </border>
    <border>
      <left/>
      <right style="thin">
        <color rgb="FFB7C6CE"/>
      </right>
      <top/>
      <bottom/>
      <diagonal/>
    </border>
    <border>
      <left style="thin">
        <color rgb="FFB7C6CE"/>
      </left>
      <right style="thin">
        <color rgb="FFB7C6CE"/>
      </right>
      <top/>
      <bottom/>
      <diagonal/>
    </border>
    <border>
      <left style="thin">
        <color rgb="FFB7C6CE"/>
      </left>
      <right/>
      <top/>
      <bottom/>
      <diagonal/>
    </border>
    <border>
      <left style="thin">
        <color rgb="FF2A9D8F"/>
      </left>
      <right style="thin">
        <color rgb="FF2A9D8F"/>
      </right>
      <top style="thin">
        <color rgb="FF2A9D8F"/>
      </top>
      <bottom/>
      <diagonal/>
    </border>
    <border>
      <left style="thin">
        <color rgb="FF2A9D8F"/>
      </left>
      <right style="thin">
        <color rgb="FF2A9D8F"/>
      </right>
      <top/>
      <bottom/>
      <diagonal/>
    </border>
    <border>
      <left style="thin">
        <color rgb="FF2A9D8F"/>
      </left>
      <right style="thin">
        <color rgb="FF2A9D8F"/>
      </right>
      <top/>
      <bottom style="thin">
        <color rgb="FF2A9D8F"/>
      </bottom>
      <diagonal/>
    </border>
    <border>
      <left style="medium">
        <color rgb="FFF4A261"/>
      </left>
      <right style="medium">
        <color rgb="FFF4A261"/>
      </right>
      <top style="medium">
        <color rgb="FFF4A261"/>
      </top>
      <bottom/>
      <diagonal/>
    </border>
    <border>
      <left style="medium">
        <color rgb="FFF4A261"/>
      </left>
      <right style="medium">
        <color rgb="FFF4A261"/>
      </right>
      <top/>
      <bottom/>
      <diagonal/>
    </border>
    <border>
      <left style="medium">
        <color rgb="FFF4A261"/>
      </left>
      <right style="medium">
        <color rgb="FFF4A261"/>
      </right>
      <top/>
      <bottom style="medium">
        <color rgb="FFF4A261"/>
      </bottom>
      <diagonal/>
    </border>
  </borders>
  <cellStyleXfs count="2">
    <xf numFmtId="0" fontId="0" fillId="0" borderId="0"/>
    <xf numFmtId="0" fontId="11" fillId="0" borderId="0"/>
  </cellStyleXfs>
  <cellXfs count="84">
    <xf numFmtId="0" fontId="0" fillId="0" borderId="0" xfId="0"/>
    <xf numFmtId="0" fontId="4" fillId="4" borderId="1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6" borderId="3" xfId="1" applyFont="1" applyFill="1" applyBorder="1" applyAlignment="1">
      <alignment horizontal="center" vertical="center"/>
    </xf>
    <xf numFmtId="0" fontId="5" fillId="6" borderId="4" xfId="1" applyFont="1" applyFill="1" applyBorder="1" applyAlignment="1">
      <alignment horizontal="center" vertical="center"/>
    </xf>
    <xf numFmtId="0" fontId="0" fillId="0" borderId="5" xfId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0" fontId="0" fillId="0" borderId="7" xfId="1" applyFont="1" applyBorder="1" applyAlignment="1">
      <alignment vertical="center" wrapText="1"/>
    </xf>
    <xf numFmtId="0" fontId="6" fillId="0" borderId="5" xfId="1" applyFont="1" applyBorder="1" applyAlignment="1">
      <alignment vertical="center" wrapText="1"/>
    </xf>
    <xf numFmtId="0" fontId="6" fillId="0" borderId="6" xfId="1" applyFont="1" applyBorder="1" applyAlignment="1">
      <alignment vertical="center" wrapText="1"/>
    </xf>
    <xf numFmtId="0" fontId="6" fillId="0" borderId="7" xfId="1" applyFont="1" applyBorder="1" applyAlignment="1">
      <alignment vertical="center" wrapText="1"/>
    </xf>
    <xf numFmtId="0" fontId="7" fillId="0" borderId="5" xfId="1" applyFont="1" applyBorder="1" applyAlignment="1">
      <alignment vertical="center" wrapText="1"/>
    </xf>
    <xf numFmtId="0" fontId="7" fillId="0" borderId="6" xfId="1" applyFont="1" applyBorder="1" applyAlignment="1">
      <alignment vertical="center" wrapText="1"/>
    </xf>
    <xf numFmtId="0" fontId="7" fillId="0" borderId="7" xfId="1" applyFont="1" applyBorder="1" applyAlignment="1">
      <alignment vertical="center" wrapText="1"/>
    </xf>
    <xf numFmtId="0" fontId="8" fillId="7" borderId="8" xfId="1" applyFont="1" applyFill="1" applyBorder="1" applyAlignment="1">
      <alignment horizontal="center" vertical="center" wrapText="1"/>
    </xf>
    <xf numFmtId="0" fontId="8" fillId="7" borderId="9" xfId="1" applyFont="1" applyFill="1" applyBorder="1" applyAlignment="1">
      <alignment horizontal="center" vertical="center" wrapText="1"/>
    </xf>
    <xf numFmtId="0" fontId="8" fillId="7" borderId="10" xfId="1" applyFont="1" applyFill="1" applyBorder="1" applyAlignment="1">
      <alignment horizontal="center" vertical="center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1" fontId="0" fillId="0" borderId="5" xfId="1" applyNumberFormat="1" applyFont="1" applyBorder="1" applyAlignment="1">
      <alignment vertical="top" wrapText="1"/>
    </xf>
    <xf numFmtId="1" fontId="0" fillId="0" borderId="6" xfId="1" applyNumberFormat="1" applyFont="1" applyBorder="1" applyAlignment="1">
      <alignment vertical="top" wrapText="1"/>
    </xf>
    <xf numFmtId="0" fontId="6" fillId="4" borderId="5" xfId="1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6" fillId="4" borderId="7" xfId="1" applyFont="1" applyFill="1" applyBorder="1" applyAlignment="1">
      <alignment horizontal="center" vertical="center" wrapText="1"/>
    </xf>
    <xf numFmtId="0" fontId="7" fillId="0" borderId="5" xfId="1" applyFont="1" applyBorder="1" applyAlignment="1">
      <alignment vertical="top" wrapText="1"/>
    </xf>
    <xf numFmtId="0" fontId="7" fillId="0" borderId="6" xfId="1" applyFont="1" applyBorder="1" applyAlignment="1">
      <alignment vertical="top" wrapText="1"/>
    </xf>
    <xf numFmtId="0" fontId="7" fillId="0" borderId="7" xfId="1" applyFont="1" applyBorder="1" applyAlignment="1">
      <alignment vertical="top" wrapText="1"/>
    </xf>
    <xf numFmtId="0" fontId="6" fillId="8" borderId="5" xfId="1" applyFont="1" applyFill="1" applyBorder="1" applyAlignment="1">
      <alignment vertical="top" wrapText="1"/>
    </xf>
    <xf numFmtId="0" fontId="6" fillId="8" borderId="6" xfId="1" applyFont="1" applyFill="1" applyBorder="1" applyAlignment="1">
      <alignment vertical="top" wrapText="1"/>
    </xf>
    <xf numFmtId="0" fontId="6" fillId="8" borderId="7" xfId="1" applyFont="1" applyFill="1" applyBorder="1" applyAlignment="1">
      <alignment vertical="top" wrapText="1"/>
    </xf>
    <xf numFmtId="1" fontId="0" fillId="0" borderId="7" xfId="1" applyNumberFormat="1" applyFont="1" applyBorder="1" applyAlignment="1">
      <alignment vertical="top" wrapText="1"/>
    </xf>
    <xf numFmtId="4" fontId="0" fillId="0" borderId="5" xfId="1" applyNumberFormat="1" applyFont="1" applyBorder="1" applyAlignment="1">
      <alignment vertical="top" wrapText="1"/>
    </xf>
    <xf numFmtId="4" fontId="0" fillId="0" borderId="6" xfId="1" applyNumberFormat="1" applyFont="1" applyBorder="1" applyAlignment="1">
      <alignment vertical="top" wrapText="1"/>
    </xf>
    <xf numFmtId="4" fontId="0" fillId="0" borderId="7" xfId="1" applyNumberFormat="1" applyFont="1" applyBorder="1" applyAlignment="1">
      <alignment vertical="top" wrapText="1"/>
    </xf>
    <xf numFmtId="176" fontId="0" fillId="0" borderId="6" xfId="1" applyNumberFormat="1" applyFont="1" applyBorder="1" applyAlignment="1">
      <alignment vertical="top" wrapText="1"/>
    </xf>
    <xf numFmtId="4" fontId="6" fillId="3" borderId="6" xfId="1" applyNumberFormat="1" applyFont="1" applyFill="1" applyBorder="1" applyAlignment="1">
      <alignment vertical="top" wrapText="1"/>
    </xf>
    <xf numFmtId="176" fontId="6" fillId="3" borderId="6" xfId="1" applyNumberFormat="1" applyFont="1" applyFill="1" applyBorder="1" applyAlignment="1">
      <alignment vertical="top" wrapText="1"/>
    </xf>
    <xf numFmtId="0" fontId="0" fillId="9" borderId="6" xfId="1" applyFont="1" applyFill="1" applyBorder="1" applyAlignment="1">
      <alignment vertical="top" wrapText="1"/>
    </xf>
    <xf numFmtId="4" fontId="0" fillId="9" borderId="6" xfId="1" applyNumberFormat="1" applyFont="1" applyFill="1" applyBorder="1" applyAlignment="1">
      <alignment vertical="top" wrapText="1"/>
    </xf>
    <xf numFmtId="0" fontId="0" fillId="9" borderId="7" xfId="1" applyFont="1" applyFill="1" applyBorder="1" applyAlignment="1">
      <alignment vertical="top" wrapText="1"/>
    </xf>
    <xf numFmtId="4" fontId="0" fillId="9" borderId="7" xfId="1" applyNumberFormat="1" applyFont="1" applyFill="1" applyBorder="1" applyAlignment="1">
      <alignment vertical="top" wrapText="1"/>
    </xf>
    <xf numFmtId="176" fontId="0" fillId="0" borderId="5" xfId="1" applyNumberFormat="1" applyFont="1" applyBorder="1" applyAlignment="1">
      <alignment vertical="top" wrapText="1"/>
    </xf>
    <xf numFmtId="176" fontId="0" fillId="0" borderId="7" xfId="1" applyNumberFormat="1" applyFont="1" applyBorder="1" applyAlignment="1">
      <alignment vertical="top" wrapText="1"/>
    </xf>
    <xf numFmtId="177" fontId="0" fillId="0" borderId="5" xfId="1" applyNumberFormat="1" applyFont="1" applyBorder="1" applyAlignment="1">
      <alignment vertical="top" wrapText="1"/>
    </xf>
    <xf numFmtId="177" fontId="0" fillId="0" borderId="6" xfId="1" applyNumberFormat="1" applyFont="1" applyBorder="1" applyAlignment="1">
      <alignment vertical="top" wrapText="1"/>
    </xf>
    <xf numFmtId="177" fontId="0" fillId="0" borderId="7" xfId="1" applyNumberFormat="1" applyFont="1" applyBorder="1" applyAlignment="1">
      <alignment vertical="top" wrapText="1"/>
    </xf>
    <xf numFmtId="0" fontId="0" fillId="4" borderId="5" xfId="1" applyFont="1" applyFill="1" applyBorder="1"/>
    <xf numFmtId="0" fontId="0" fillId="4" borderId="6" xfId="1" applyFont="1" applyFill="1" applyBorder="1"/>
    <xf numFmtId="0" fontId="0" fillId="4" borderId="7" xfId="1" applyFont="1" applyFill="1" applyBorder="1"/>
    <xf numFmtId="0" fontId="0" fillId="9" borderId="5" xfId="1" applyFont="1" applyFill="1" applyBorder="1"/>
    <xf numFmtId="0" fontId="0" fillId="9" borderId="6" xfId="1" applyFont="1" applyFill="1" applyBorder="1"/>
    <xf numFmtId="0" fontId="0" fillId="9" borderId="7" xfId="1" applyFont="1" applyFill="1" applyBorder="1"/>
    <xf numFmtId="176" fontId="0" fillId="4" borderId="5" xfId="1" applyNumberFormat="1" applyFont="1" applyFill="1" applyBorder="1"/>
    <xf numFmtId="176" fontId="0" fillId="4" borderId="6" xfId="1" applyNumberFormat="1" applyFont="1" applyFill="1" applyBorder="1"/>
    <xf numFmtId="176" fontId="0" fillId="4" borderId="7" xfId="1" applyNumberFormat="1" applyFont="1" applyFill="1" applyBorder="1"/>
    <xf numFmtId="176" fontId="0" fillId="9" borderId="5" xfId="1" applyNumberFormat="1" applyFont="1" applyFill="1" applyBorder="1"/>
    <xf numFmtId="176" fontId="0" fillId="9" borderId="6" xfId="1" applyNumberFormat="1" applyFont="1" applyFill="1" applyBorder="1"/>
    <xf numFmtId="176" fontId="0" fillId="9" borderId="7" xfId="1" applyNumberFormat="1" applyFont="1" applyFill="1" applyBorder="1"/>
    <xf numFmtId="0" fontId="1" fillId="2" borderId="0" xfId="1" applyFont="1" applyFill="1" applyAlignment="1">
      <alignment horizontal="left" vertical="center"/>
    </xf>
    <xf numFmtId="0" fontId="0" fillId="0" borderId="0" xfId="0"/>
    <xf numFmtId="0" fontId="2" fillId="3" borderId="0" xfId="1" applyFont="1" applyFill="1" applyAlignment="1">
      <alignment wrapText="1"/>
    </xf>
    <xf numFmtId="0" fontId="3" fillId="4" borderId="0" xfId="1" applyFont="1" applyFill="1" applyAlignment="1">
      <alignment vertical="center"/>
    </xf>
    <xf numFmtId="0" fontId="0" fillId="0" borderId="5" xfId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0" fontId="0" fillId="0" borderId="7" xfId="1" applyFont="1" applyBorder="1" applyAlignment="1">
      <alignment vertical="center" wrapText="1"/>
    </xf>
    <xf numFmtId="0" fontId="6" fillId="9" borderId="11" xfId="1" applyFont="1" applyFill="1" applyBorder="1" applyAlignment="1">
      <alignment horizontal="center" vertical="center" wrapText="1"/>
    </xf>
    <xf numFmtId="0" fontId="6" fillId="9" borderId="12" xfId="1" applyFont="1" applyFill="1" applyBorder="1" applyAlignment="1">
      <alignment horizontal="center" vertical="center" wrapText="1"/>
    </xf>
    <xf numFmtId="0" fontId="6" fillId="9" borderId="13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6" fillId="3" borderId="14" xfId="1" applyFont="1" applyFill="1" applyBorder="1" applyAlignment="1">
      <alignment horizontal="center" vertical="center" wrapText="1"/>
    </xf>
    <xf numFmtId="0" fontId="6" fillId="3" borderId="15" xfId="1" applyFont="1" applyFill="1" applyBorder="1" applyAlignment="1">
      <alignment horizontal="center" vertical="center" wrapText="1"/>
    </xf>
    <xf numFmtId="0" fontId="6" fillId="3" borderId="16" xfId="1" applyFont="1" applyFill="1" applyBorder="1" applyAlignment="1">
      <alignment horizontal="center" vertical="center" wrapText="1"/>
    </xf>
    <xf numFmtId="0" fontId="10" fillId="8" borderId="0" xfId="1" applyFont="1" applyFill="1" applyAlignment="1">
      <alignment vertical="center" wrapText="1"/>
    </xf>
    <xf numFmtId="0" fontId="0" fillId="3" borderId="0" xfId="1" applyFont="1" applyFill="1" applyAlignment="1">
      <alignment wrapText="1"/>
    </xf>
    <xf numFmtId="0" fontId="2" fillId="6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6">
    <dxf>
      <font>
        <b/>
        <color rgb="FF176B55"/>
      </font>
      <fill>
        <patternFill patternType="solid">
          <bgColor rgb="FFE8F5F1"/>
        </patternFill>
      </fill>
    </dxf>
    <dxf>
      <font>
        <b/>
        <color rgb="FF9F2D20"/>
      </font>
      <fill>
        <patternFill patternType="solid">
          <bgColor rgb="FFFCEBE8"/>
        </patternFill>
      </fill>
    </dxf>
    <dxf>
      <font>
        <b/>
        <color rgb="FF9F2D20"/>
      </font>
      <fill>
        <patternFill patternType="solid">
          <bgColor rgb="FFFCEBE8"/>
        </patternFill>
      </fill>
    </dxf>
    <dxf>
      <font>
        <b/>
      </font>
      <fill>
        <patternFill patternType="solid">
          <bgColor rgb="FFFFF2E5"/>
        </patternFill>
      </fill>
    </dxf>
    <dxf>
      <font>
        <b/>
        <color rgb="FF9F2D20"/>
      </font>
      <fill>
        <patternFill patternType="solid">
          <bgColor rgb="FFFCEBE8"/>
        </patternFill>
      </fill>
    </dxf>
    <dxf>
      <font>
        <color rgb="FF16324F"/>
      </font>
      <fill>
        <patternFill patternType="solid">
          <bgColor rgb="FFFFF8D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/>
              <a:t>游客量同比与</a:t>
            </a:r>
            <a:r>
              <a:rPr lang="en-US"/>
              <a:t>IQR</a:t>
            </a:r>
            <a:r>
              <a:rPr lang="zh-CN" altLang="en-US"/>
              <a:t>判定边界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游客量同比</c:v>
          </c:tx>
          <c:marker>
            <c:symbol val="none"/>
          </c:marker>
          <c:cat>
            <c:numRef>
              <c:f>异常检测!$A$31:$A$46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异常检测!$B$31:$B$46</c:f>
              <c:numCache>
                <c:formatCode>0.0%</c:formatCode>
                <c:ptCount val="16"/>
                <c:pt idx="0">
                  <c:v>0</c:v>
                </c:pt>
                <c:pt idx="1">
                  <c:v>0.29551886792452819</c:v>
                </c:pt>
                <c:pt idx="2">
                  <c:v>4.8607318405243127E-2</c:v>
                </c:pt>
                <c:pt idx="3">
                  <c:v>0.12413194444444442</c:v>
                </c:pt>
                <c:pt idx="4">
                  <c:v>0.19953667953667953</c:v>
                </c:pt>
                <c:pt idx="5">
                  <c:v>0.17079953650057922</c:v>
                </c:pt>
                <c:pt idx="6">
                  <c:v>0.14696049969209102</c:v>
                </c:pt>
                <c:pt idx="7">
                  <c:v>0.14669223394055608</c:v>
                </c:pt>
                <c:pt idx="8">
                  <c:v>0.11204013377926425</c:v>
                </c:pt>
                <c:pt idx="9">
                  <c:v>5.2631578947368363E-2</c:v>
                </c:pt>
                <c:pt idx="10">
                  <c:v>-0.44999999999999996</c:v>
                </c:pt>
                <c:pt idx="11">
                  <c:v>0.2914669223394053</c:v>
                </c:pt>
                <c:pt idx="12">
                  <c:v>-0.6454545454545455</c:v>
                </c:pt>
                <c:pt idx="13">
                  <c:v>2.3511031161365237</c:v>
                </c:pt>
                <c:pt idx="14">
                  <c:v>0.1184934405416842</c:v>
                </c:pt>
                <c:pt idx="15">
                  <c:v>5.9402194475974168E-2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0A-4BE0-89F8-247DFED104A6}"/>
            </c:ext>
          </c:extLst>
        </c:ser>
        <c:ser>
          <c:idx val="1"/>
          <c:order val="1"/>
          <c:tx>
            <c:v>IQR下界</c:v>
          </c:tx>
          <c:marker>
            <c:symbol val="none"/>
          </c:marker>
          <c:cat>
            <c:numRef>
              <c:f>异常检测!$A$31:$A$46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异常检测!$C$31:$C$46</c:f>
              <c:numCache>
                <c:formatCode>0.0%</c:formatCode>
                <c:ptCount val="16"/>
                <c:pt idx="0">
                  <c:v>-0.1377099452487659</c:v>
                </c:pt>
                <c:pt idx="1">
                  <c:v>-0.1377099452487659</c:v>
                </c:pt>
                <c:pt idx="2">
                  <c:v>-0.1377099452487659</c:v>
                </c:pt>
                <c:pt idx="3">
                  <c:v>-0.1377099452487659</c:v>
                </c:pt>
                <c:pt idx="4">
                  <c:v>-0.1377099452487659</c:v>
                </c:pt>
                <c:pt idx="5">
                  <c:v>-0.1377099452487659</c:v>
                </c:pt>
                <c:pt idx="6">
                  <c:v>-0.1377099452487659</c:v>
                </c:pt>
                <c:pt idx="7">
                  <c:v>-0.1377099452487659</c:v>
                </c:pt>
                <c:pt idx="8">
                  <c:v>-0.1377099452487659</c:v>
                </c:pt>
                <c:pt idx="9">
                  <c:v>-0.1377099452487659</c:v>
                </c:pt>
                <c:pt idx="10">
                  <c:v>-0.1377099452487659</c:v>
                </c:pt>
                <c:pt idx="11">
                  <c:v>-0.1377099452487659</c:v>
                </c:pt>
                <c:pt idx="12">
                  <c:v>-0.1377099452487659</c:v>
                </c:pt>
                <c:pt idx="13">
                  <c:v>-0.1377099452487659</c:v>
                </c:pt>
                <c:pt idx="14">
                  <c:v>-0.1377099452487659</c:v>
                </c:pt>
                <c:pt idx="15">
                  <c:v>-0.1377099452487659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0A-4BE0-89F8-247DFED104A6}"/>
            </c:ext>
          </c:extLst>
        </c:ser>
        <c:ser>
          <c:idx val="2"/>
          <c:order val="2"/>
          <c:tx>
            <c:v>IQR上界</c:v>
          </c:tx>
          <c:marker>
            <c:symbol val="none"/>
          </c:marker>
          <c:cat>
            <c:numRef>
              <c:f>异常检测!$A$31:$A$46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异常检测!$D$31:$D$46</c:f>
              <c:numCache>
                <c:formatCode>0.0%</c:formatCode>
                <c:ptCount val="16"/>
                <c:pt idx="0">
                  <c:v>0.37889493997906654</c:v>
                </c:pt>
                <c:pt idx="1">
                  <c:v>0.37889493997906654</c:v>
                </c:pt>
                <c:pt idx="2">
                  <c:v>0.37889493997906654</c:v>
                </c:pt>
                <c:pt idx="3">
                  <c:v>0.37889493997906654</c:v>
                </c:pt>
                <c:pt idx="4">
                  <c:v>0.37889493997906654</c:v>
                </c:pt>
                <c:pt idx="5">
                  <c:v>0.37889493997906654</c:v>
                </c:pt>
                <c:pt idx="6">
                  <c:v>0.37889493997906654</c:v>
                </c:pt>
                <c:pt idx="7">
                  <c:v>0.37889493997906654</c:v>
                </c:pt>
                <c:pt idx="8">
                  <c:v>0.37889493997906654</c:v>
                </c:pt>
                <c:pt idx="9">
                  <c:v>0.37889493997906654</c:v>
                </c:pt>
                <c:pt idx="10">
                  <c:v>0.37889493997906654</c:v>
                </c:pt>
                <c:pt idx="11">
                  <c:v>0.37889493997906654</c:v>
                </c:pt>
                <c:pt idx="12">
                  <c:v>0.37889493997906654</c:v>
                </c:pt>
                <c:pt idx="13">
                  <c:v>0.37889493997906654</c:v>
                </c:pt>
                <c:pt idx="14">
                  <c:v>0.37889493997906654</c:v>
                </c:pt>
                <c:pt idx="15">
                  <c:v>0.37889493997906654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0A-4BE0-89F8-247DFED10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/>
              <a:t>综合收入同比与</a:t>
            </a:r>
            <a:r>
              <a:rPr lang="en-US"/>
              <a:t>IQR</a:t>
            </a:r>
            <a:r>
              <a:rPr lang="zh-CN" altLang="en-US"/>
              <a:t>判定边界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综合收入同比</c:v>
          </c:tx>
          <c:marker>
            <c:symbol val="none"/>
          </c:marker>
          <c:cat>
            <c:numRef>
              <c:f>异常检测!$F$31:$F$46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异常检测!$G$31:$G$46</c:f>
              <c:numCache>
                <c:formatCode>0.0%</c:formatCode>
                <c:ptCount val="16"/>
                <c:pt idx="0">
                  <c:v>0</c:v>
                </c:pt>
                <c:pt idx="1">
                  <c:v>0.29499998254565241</c:v>
                </c:pt>
                <c:pt idx="2">
                  <c:v>0.13043478260869557</c:v>
                </c:pt>
                <c:pt idx="3">
                  <c:v>0.21538461538461551</c:v>
                </c:pt>
                <c:pt idx="4">
                  <c:v>0.25</c:v>
                </c:pt>
                <c:pt idx="5">
                  <c:v>0.18987341772151889</c:v>
                </c:pt>
                <c:pt idx="6">
                  <c:v>0.16580851063829805</c:v>
                </c:pt>
                <c:pt idx="7">
                  <c:v>0.18628291935101182</c:v>
                </c:pt>
                <c:pt idx="8">
                  <c:v>9.2307692307692202E-2</c:v>
                </c:pt>
                <c:pt idx="9">
                  <c:v>0.1619718309859155</c:v>
                </c:pt>
                <c:pt idx="10">
                  <c:v>-0.50499999999999989</c:v>
                </c:pt>
                <c:pt idx="11">
                  <c:v>0.34680134680134667</c:v>
                </c:pt>
                <c:pt idx="12">
                  <c:v>-0.6454545454545455</c:v>
                </c:pt>
                <c:pt idx="13">
                  <c:v>3.9102564102564106</c:v>
                </c:pt>
                <c:pt idx="14">
                  <c:v>0.15404699738903394</c:v>
                </c:pt>
                <c:pt idx="15">
                  <c:v>4.5248868778280604E-2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CC-407E-A3D4-3895E3F2C296}"/>
            </c:ext>
          </c:extLst>
        </c:ser>
        <c:ser>
          <c:idx val="1"/>
          <c:order val="1"/>
          <c:tx>
            <c:v>IQR下界</c:v>
          </c:tx>
          <c:marker>
            <c:symbol val="none"/>
          </c:marker>
          <c:cat>
            <c:numRef>
              <c:f>异常检测!$F$31:$F$46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异常检测!$H$31:$H$46</c:f>
              <c:numCache>
                <c:formatCode>0.0%</c:formatCode>
                <c:ptCount val="16"/>
                <c:pt idx="0">
                  <c:v>-7.0610367892976922E-2</c:v>
                </c:pt>
                <c:pt idx="1">
                  <c:v>-7.0610367892976922E-2</c:v>
                </c:pt>
                <c:pt idx="2">
                  <c:v>-7.0610367892976922E-2</c:v>
                </c:pt>
                <c:pt idx="3">
                  <c:v>-7.0610367892976922E-2</c:v>
                </c:pt>
                <c:pt idx="4">
                  <c:v>-7.0610367892976922E-2</c:v>
                </c:pt>
                <c:pt idx="5">
                  <c:v>-7.0610367892976922E-2</c:v>
                </c:pt>
                <c:pt idx="6">
                  <c:v>-7.0610367892976922E-2</c:v>
                </c:pt>
                <c:pt idx="7">
                  <c:v>-7.0610367892976922E-2</c:v>
                </c:pt>
                <c:pt idx="8">
                  <c:v>-7.0610367892976922E-2</c:v>
                </c:pt>
                <c:pt idx="9">
                  <c:v>-7.0610367892976922E-2</c:v>
                </c:pt>
                <c:pt idx="10">
                  <c:v>-7.0610367892976922E-2</c:v>
                </c:pt>
                <c:pt idx="11">
                  <c:v>-7.0610367892976922E-2</c:v>
                </c:pt>
                <c:pt idx="12">
                  <c:v>-7.0610367892976922E-2</c:v>
                </c:pt>
                <c:pt idx="13">
                  <c:v>-7.0610367892976922E-2</c:v>
                </c:pt>
                <c:pt idx="14">
                  <c:v>-7.0610367892976922E-2</c:v>
                </c:pt>
                <c:pt idx="15">
                  <c:v>-7.0610367892976922E-2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CC-407E-A3D4-3895E3F2C296}"/>
            </c:ext>
          </c:extLst>
        </c:ser>
        <c:ser>
          <c:idx val="2"/>
          <c:order val="2"/>
          <c:tx>
            <c:v>IQR上界</c:v>
          </c:tx>
          <c:marker>
            <c:symbol val="none"/>
          </c:marker>
          <c:cat>
            <c:numRef>
              <c:f>异常检测!$F$31:$F$46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异常检测!$I$31:$I$46</c:f>
              <c:numCache>
                <c:formatCode>0.0%</c:formatCode>
                <c:ptCount val="16"/>
                <c:pt idx="0">
                  <c:v>0.41467391304347856</c:v>
                </c:pt>
                <c:pt idx="1">
                  <c:v>0.41467391304347856</c:v>
                </c:pt>
                <c:pt idx="2">
                  <c:v>0.41467391304347856</c:v>
                </c:pt>
                <c:pt idx="3">
                  <c:v>0.41467391304347856</c:v>
                </c:pt>
                <c:pt idx="4">
                  <c:v>0.41467391304347856</c:v>
                </c:pt>
                <c:pt idx="5">
                  <c:v>0.41467391304347856</c:v>
                </c:pt>
                <c:pt idx="6">
                  <c:v>0.41467391304347856</c:v>
                </c:pt>
                <c:pt idx="7">
                  <c:v>0.41467391304347856</c:v>
                </c:pt>
                <c:pt idx="8">
                  <c:v>0.41467391304347856</c:v>
                </c:pt>
                <c:pt idx="9">
                  <c:v>0.41467391304347856</c:v>
                </c:pt>
                <c:pt idx="10">
                  <c:v>0.41467391304347856</c:v>
                </c:pt>
                <c:pt idx="11">
                  <c:v>0.41467391304347856</c:v>
                </c:pt>
                <c:pt idx="12">
                  <c:v>0.41467391304347856</c:v>
                </c:pt>
                <c:pt idx="13">
                  <c:v>0.41467391304347856</c:v>
                </c:pt>
                <c:pt idx="14">
                  <c:v>0.41467391304347856</c:v>
                </c:pt>
                <c:pt idx="15">
                  <c:v>0.41467391304347856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CC-407E-A3D4-3895E3F2C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/>
              <a:t>游客量：原始缺口与约束补全（万人次）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游客原始</c:v>
          </c:tx>
          <c:marker>
            <c:symbol val="none"/>
          </c:marker>
          <c:cat>
            <c:numRef>
              <c:f>趋势图!$A$5:$A$20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趋势图!$B$5:$B$20</c:f>
              <c:numCache>
                <c:formatCode>#,##0.00</c:formatCode>
                <c:ptCount val="16"/>
                <c:pt idx="0">
                  <c:v>848</c:v>
                </c:pt>
                <c:pt idx="1">
                  <c:v>1098.5999999999999</c:v>
                </c:pt>
                <c:pt idx="2">
                  <c:v>1152</c:v>
                </c:pt>
                <c:pt idx="3">
                  <c:v>1295</c:v>
                </c:pt>
                <c:pt idx="4">
                  <c:v>1553.4</c:v>
                </c:pt>
                <c:pt idx="5">
                  <c:v>1818.72</c:v>
                </c:pt>
                <c:pt idx="6">
                  <c:v>2086</c:v>
                </c:pt>
                <c:pt idx="7">
                  <c:v>2392</c:v>
                </c:pt>
                <c:pt idx="8">
                  <c:v>2660</c:v>
                </c:pt>
                <c:pt idx="9">
                  <c:v>2800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2363</c:v>
                </c:pt>
                <c:pt idx="14">
                  <c:v>2643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88-4E71-A5F9-EE581E6615D3}"/>
            </c:ext>
          </c:extLst>
        </c:ser>
        <c:ser>
          <c:idx val="1"/>
          <c:order val="1"/>
          <c:tx>
            <c:v>游客清洗</c:v>
          </c:tx>
          <c:marker>
            <c:symbol val="none"/>
          </c:marker>
          <c:cat>
            <c:numRef>
              <c:f>趋势图!$A$5:$A$20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趋势图!$C$5:$C$20</c:f>
              <c:numCache>
                <c:formatCode>#,##0.00</c:formatCode>
                <c:ptCount val="16"/>
                <c:pt idx="0">
                  <c:v>848</c:v>
                </c:pt>
                <c:pt idx="1">
                  <c:v>1098.5999999999999</c:v>
                </c:pt>
                <c:pt idx="2">
                  <c:v>1152</c:v>
                </c:pt>
                <c:pt idx="3">
                  <c:v>1295</c:v>
                </c:pt>
                <c:pt idx="4">
                  <c:v>1553.4</c:v>
                </c:pt>
                <c:pt idx="5">
                  <c:v>1818.72</c:v>
                </c:pt>
                <c:pt idx="6">
                  <c:v>2086</c:v>
                </c:pt>
                <c:pt idx="7">
                  <c:v>2392</c:v>
                </c:pt>
                <c:pt idx="8">
                  <c:v>2660</c:v>
                </c:pt>
                <c:pt idx="9">
                  <c:v>2800</c:v>
                </c:pt>
                <c:pt idx="10">
                  <c:v>1540.0000000000002</c:v>
                </c:pt>
                <c:pt idx="11">
                  <c:v>1988.8590604026845</c:v>
                </c:pt>
                <c:pt idx="12">
                  <c:v>705.14093959731542</c:v>
                </c:pt>
                <c:pt idx="13">
                  <c:v>2363</c:v>
                </c:pt>
                <c:pt idx="14">
                  <c:v>2643</c:v>
                </c:pt>
                <c:pt idx="15">
                  <c:v>2800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88-4E71-A5F9-EE581E661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/>
              <a:t>旅游综合收入：原始缺口与约束补全（亿元）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综合收入原始</c:v>
          </c:tx>
          <c:marker>
            <c:symbol val="none"/>
          </c:marker>
          <c:cat>
            <c:numRef>
              <c:f>趋势图!$A$5:$A$20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趋势图!$D$5:$D$20</c:f>
              <c:numCache>
                <c:formatCode>#,##0.00</c:formatCode>
                <c:ptCount val="16"/>
                <c:pt idx="0">
                  <c:v>35.521236000000002</c:v>
                </c:pt>
                <c:pt idx="1">
                  <c:v>46</c:v>
                </c:pt>
                <c:pt idx="2">
                  <c:v>52</c:v>
                </c:pt>
                <c:pt idx="3">
                  <c:v>63.2</c:v>
                </c:pt>
                <c:pt idx="4">
                  <c:v>79</c:v>
                </c:pt>
                <c:pt idx="5">
                  <c:v>94</c:v>
                </c:pt>
                <c:pt idx="6">
                  <c:v>0</c:v>
                </c:pt>
                <c:pt idx="7">
                  <c:v>130</c:v>
                </c:pt>
                <c:pt idx="8">
                  <c:v>142</c:v>
                </c:pt>
                <c:pt idx="9">
                  <c:v>165</c:v>
                </c:pt>
                <c:pt idx="10">
                  <c:v>0</c:v>
                </c:pt>
                <c:pt idx="11">
                  <c:v>110</c:v>
                </c:pt>
                <c:pt idx="12">
                  <c:v>0</c:v>
                </c:pt>
                <c:pt idx="13">
                  <c:v>191.5</c:v>
                </c:pt>
                <c:pt idx="14">
                  <c:v>221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2B-4512-BDD2-FB3E16CBEFAE}"/>
            </c:ext>
          </c:extLst>
        </c:ser>
        <c:ser>
          <c:idx val="1"/>
          <c:order val="1"/>
          <c:tx>
            <c:v>综合收入清洗</c:v>
          </c:tx>
          <c:marker>
            <c:symbol val="none"/>
          </c:marker>
          <c:cat>
            <c:numRef>
              <c:f>趋势图!$A$5:$A$20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趋势图!$E$5:$E$20</c:f>
              <c:numCache>
                <c:formatCode>#,##0.00</c:formatCode>
                <c:ptCount val="16"/>
                <c:pt idx="0">
                  <c:v>35.521236000000002</c:v>
                </c:pt>
                <c:pt idx="1">
                  <c:v>46</c:v>
                </c:pt>
                <c:pt idx="2">
                  <c:v>52</c:v>
                </c:pt>
                <c:pt idx="3">
                  <c:v>63.2</c:v>
                </c:pt>
                <c:pt idx="4">
                  <c:v>79</c:v>
                </c:pt>
                <c:pt idx="5">
                  <c:v>94</c:v>
                </c:pt>
                <c:pt idx="6">
                  <c:v>109.58600000000001</c:v>
                </c:pt>
                <c:pt idx="7">
                  <c:v>130</c:v>
                </c:pt>
                <c:pt idx="8">
                  <c:v>142</c:v>
                </c:pt>
                <c:pt idx="9">
                  <c:v>165</c:v>
                </c:pt>
                <c:pt idx="10">
                  <c:v>81.675000000000011</c:v>
                </c:pt>
                <c:pt idx="11">
                  <c:v>110</c:v>
                </c:pt>
                <c:pt idx="12">
                  <c:v>39</c:v>
                </c:pt>
                <c:pt idx="13">
                  <c:v>191.5</c:v>
                </c:pt>
                <c:pt idx="14">
                  <c:v>221</c:v>
                </c:pt>
                <c:pt idx="15">
                  <c:v>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2B-4512-BDD2-FB3E16CBE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delSelectionTable" displayName="ModelSelectionTable" ref="A4:G10" totalsRowShown="0">
  <tableColumns count="7">
    <tableColumn id="1" xr3:uid="{00000000-0010-0000-0000-000001000000}" name="小问"/>
    <tableColumn id="2" xr3:uid="{00000000-0010-0000-0000-000002000000}" name="方案"/>
    <tableColumn id="3" xr3:uid="{00000000-0010-0000-0000-000003000000}" name="推荐模型"/>
    <tableColumn id="4" xr3:uid="{00000000-0010-0000-0000-000004000000}" name="核心原理"/>
    <tableColumn id="5" xr3:uid="{00000000-0010-0000-0000-000005000000}" name="适配性"/>
    <tableColumn id="6" xr3:uid="{00000000-0010-0000-0000-000006000000}" name="创新点"/>
    <tableColumn id="7" xr3:uid="{00000000-0010-0000-0000-000007000000}" name="局限性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AnnualTable" displayName="RawAnnualTable" ref="A3:M19" totalsRowShown="0">
  <tableColumns count="13">
    <tableColumn id="1" xr3:uid="{00000000-0010-0000-0100-000001000000}" name="年份"/>
    <tableColumn id="2" xr3:uid="{00000000-0010-0000-0100-000002000000}" name="游客量(万人次)"/>
    <tableColumn id="3" xr3:uid="{00000000-0010-0000-0100-000003000000}" name="游客状态"/>
    <tableColumn id="4" xr3:uid="{00000000-0010-0000-0100-000004000000}" name="直接收入(亿元)"/>
    <tableColumn id="5" xr3:uid="{00000000-0010-0000-0100-000005000000}" name="直接收入状态"/>
    <tableColumn id="6" xr3:uid="{00000000-0010-0000-0100-000006000000}" name="综合收入(亿元)"/>
    <tableColumn id="7" xr3:uid="{00000000-0010-0000-0100-000007000000}" name="综合收入状态"/>
    <tableColumn id="8" xr3:uid="{00000000-0010-0000-0100-000008000000}" name="GDP(亿元)"/>
    <tableColumn id="9" xr3:uid="{00000000-0010-0000-0100-000009000000}" name="GDP状态"/>
    <tableColumn id="10" xr3:uid="{00000000-0010-0000-0100-00000A000000}" name="第三产业(亿元)"/>
    <tableColumn id="11" xr3:uid="{00000000-0010-0000-0100-00000B000000}" name="第三产业状态"/>
    <tableColumn id="12" xr3:uid="{00000000-0010-0000-0100-00000C000000}" name="来源ID"/>
    <tableColumn id="13" xr3:uid="{00000000-0010-0000-0100-00000D000000}" name="质量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ssumptionTable" displayName="AssumptionTable" ref="A3:G23" totalsRowShown="0">
  <tableColumns count="7">
    <tableColumn id="1" xr3:uid="{00000000-0010-0000-0200-000001000000}" name="参数"/>
    <tableColumn id="2" xr3:uid="{00000000-0010-0000-0200-000002000000}" name="数值"/>
    <tableColumn id="3" xr3:uid="{00000000-0010-0000-0200-000003000000}" name="单位"/>
    <tableColumn id="4" xr3:uid="{00000000-0010-0000-0200-000004000000}" name="类型"/>
    <tableColumn id="5" xr3:uid="{00000000-0010-0000-0200-000005000000}" name="依据/计算逻辑"/>
    <tableColumn id="6" xr3:uid="{00000000-0010-0000-0200-000006000000}" name="可编辑"/>
    <tableColumn id="7" xr3:uid="{00000000-0010-0000-0200-000007000000}" name="建议敏感性范围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cessedModelData" displayName="ProcessedModelData" ref="A3:AD19" totalsRowShown="0">
  <tableColumns count="30">
    <tableColumn id="1" xr3:uid="{00000000-0010-0000-0300-000001000000}" name="年份"/>
    <tableColumn id="2" xr3:uid="{00000000-0010-0000-0300-000002000000}" name="游客原始"/>
    <tableColumn id="3" xr3:uid="{00000000-0010-0000-0300-000003000000}" name="直接收入原始"/>
    <tableColumn id="4" xr3:uid="{00000000-0010-0000-0300-000004000000}" name="综合收入原始"/>
    <tableColumn id="5" xr3:uid="{00000000-0010-0000-0300-000005000000}" name="GDP原始"/>
    <tableColumn id="6" xr3:uid="{00000000-0010-0000-0300-000006000000}" name="第三产业原始"/>
    <tableColumn id="7" xr3:uid="{00000000-0010-0000-0300-000007000000}" name="游客状态"/>
    <tableColumn id="8" xr3:uid="{00000000-0010-0000-0300-000008000000}" name="综合收入状态"/>
    <tableColumn id="9" xr3:uid="{00000000-0010-0000-0300-000009000000}" name="GDP状态"/>
    <tableColumn id="10" xr3:uid="{00000000-0010-0000-0300-00000A000000}" name="第三产业状态"/>
    <tableColumn id="11" xr3:uid="{00000000-0010-0000-0300-00000B000000}" name="游客清洗值"/>
    <tableColumn id="12" xr3:uid="{00000000-0010-0000-0300-00000C000000}" name="游客处理方法"/>
    <tableColumn id="13" xr3:uid="{00000000-0010-0000-0300-00000D000000}" name="综合收入清洗值"/>
    <tableColumn id="14" xr3:uid="{00000000-0010-0000-0300-00000E000000}" name="收入处理方法"/>
    <tableColumn id="15" xr3:uid="{00000000-0010-0000-0300-00000F000000}" name="GDP清洗值"/>
    <tableColumn id="16" xr3:uid="{00000000-0010-0000-0300-000010000000}" name="GDP处理方法"/>
    <tableColumn id="17" xr3:uid="{00000000-0010-0000-0300-000011000000}" name="第三产业清洗值"/>
    <tableColumn id="18" xr3:uid="{00000000-0010-0000-0300-000012000000}" name="第三产业处理方法"/>
    <tableColumn id="19" xr3:uid="{00000000-0010-0000-0300-000013000000}" name="游客同比"/>
    <tableColumn id="20" xr3:uid="{00000000-0010-0000-0300-000014000000}" name="收入同比"/>
    <tableColumn id="21" xr3:uid="{00000000-0010-0000-0300-000015000000}" name="游客IQR判定"/>
    <tableColumn id="22" xr3:uid="{00000000-0010-0000-0300-000016000000}" name="收入IQR判定"/>
    <tableColumn id="23" xr3:uid="{00000000-0010-0000-0300-000017000000}" name="疫情哑变量"/>
    <tableColumn id="24" xr3:uid="{00000000-0010-0000-0300-000018000000}" name="GDP口径断点"/>
    <tableColumn id="25" xr3:uid="{00000000-0010-0000-0300-000019000000}" name="游客Z"/>
    <tableColumn id="26" xr3:uid="{00000000-0010-0000-0300-00001A000000}" name="收入Z"/>
    <tableColumn id="27" xr3:uid="{00000000-0010-0000-0300-00001B000000}" name="GDP Z"/>
    <tableColumn id="28" xr3:uid="{00000000-0010-0000-0300-00001C000000}" name="第三产业Z"/>
    <tableColumn id="29" xr3:uid="{00000000-0010-0000-0300-00001D000000}" name="LN游客"/>
    <tableColumn id="30" xr3:uid="{00000000-0010-0000-0300-00001E000000}" name="LN收入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nomalyResultTable" displayName="AnomalyResultTable" ref="A10:E26" totalsRowShown="0">
  <tableColumns count="5">
    <tableColumn id="1" xr3:uid="{00000000-0010-0000-0400-000001000000}" name="年份"/>
    <tableColumn id="2" xr3:uid="{00000000-0010-0000-0400-000002000000}" name="游客量同比"/>
    <tableColumn id="3" xr3:uid="{00000000-0010-0000-0400-000003000000}" name="综合收入同比"/>
    <tableColumn id="4" xr3:uid="{00000000-0010-0000-0400-000004000000}" name="游客判定"/>
    <tableColumn id="5" xr3:uid="{00000000-0010-0000-0400-000005000000}" name="收入判定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rendHelperTable" displayName="TrendHelperTable" ref="A4:E20" totalsRowShown="0">
  <tableColumns count="5">
    <tableColumn id="1" xr3:uid="{00000000-0010-0000-0500-000001000000}" name="年份"/>
    <tableColumn id="2" xr3:uid="{00000000-0010-0000-0500-000002000000}" name="游客原始"/>
    <tableColumn id="3" xr3:uid="{00000000-0010-0000-0500-000003000000}" name="游客清洗"/>
    <tableColumn id="4" xr3:uid="{00000000-0010-0000-0500-000004000000}" name="收入原始"/>
    <tableColumn id="5" xr3:uid="{00000000-0010-0000-0500-000005000000}" name="收入清洗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upplementNeedsTable" displayName="SupplementNeedsTable" ref="A4:G10" totalsRowShown="0">
  <tableColumns count="7">
    <tableColumn id="1" xr3:uid="{00000000-0010-0000-0600-000001000000}" name="类别"/>
    <tableColumn id="2" xr3:uid="{00000000-0010-0000-0600-000002000000}" name="变量/缺口"/>
    <tableColumn id="3" xr3:uid="{00000000-0010-0000-0600-000003000000}" name="当前状态"/>
    <tableColumn id="4" xr3:uid="{00000000-0010-0000-0600-000004000000}" name="为什么需要"/>
    <tableColumn id="5" xr3:uid="{00000000-0010-0000-0600-000005000000}" name="推荐获取途径"/>
    <tableColumn id="6" xr3:uid="{00000000-0010-0000-0600-000006000000}" name="本轮生成假设"/>
    <tableColumn id="7" xr3:uid="{00000000-0010-0000-0600-000007000000}" name="不确定性处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workbookViewId="0">
      <selection sqref="A1:H1"/>
    </sheetView>
  </sheetViews>
  <sheetFormatPr defaultRowHeight="13.8"/>
  <cols>
    <col min="1" max="1" width="31" customWidth="1"/>
    <col min="2" max="2" width="23" customWidth="1"/>
    <col min="3" max="3" width="10" customWidth="1"/>
    <col min="4" max="4" width="14" customWidth="1"/>
    <col min="5" max="5" width="30" customWidth="1"/>
    <col min="6" max="6" width="42" customWidth="1"/>
    <col min="7" max="7" width="14" customWidth="1"/>
    <col min="8" max="8" width="24" customWidth="1"/>
  </cols>
  <sheetData>
    <row r="1" spans="1:8" ht="34.049999999999997" customHeight="1">
      <c r="A1" s="67" t="s">
        <v>0</v>
      </c>
      <c r="B1" s="68"/>
      <c r="C1" s="68"/>
      <c r="D1" s="68"/>
      <c r="E1" s="68"/>
      <c r="F1" s="68"/>
      <c r="G1" s="68"/>
      <c r="H1" s="68"/>
    </row>
    <row r="2" spans="1:8" ht="37.950000000000003" customHeight="1">
      <c r="A2" s="69" t="s">
        <v>1</v>
      </c>
      <c r="B2" s="69"/>
      <c r="C2" s="69"/>
      <c r="D2" s="69"/>
      <c r="E2" s="69"/>
      <c r="F2" s="69"/>
      <c r="G2" s="69"/>
      <c r="H2" s="69"/>
    </row>
    <row r="4" spans="1:8" ht="15.6">
      <c r="A4" s="70" t="s">
        <v>2</v>
      </c>
      <c r="B4" s="68"/>
      <c r="C4" s="68"/>
      <c r="D4" s="68"/>
      <c r="E4" s="68"/>
      <c r="F4" s="68"/>
      <c r="G4" s="68"/>
      <c r="H4" s="68"/>
    </row>
    <row r="5" spans="1:8" ht="28.05" customHeight="1">
      <c r="A5" s="1" t="s">
        <v>3</v>
      </c>
      <c r="B5" s="2"/>
      <c r="C5" s="3" t="s">
        <v>4</v>
      </c>
      <c r="D5" s="4"/>
      <c r="E5" s="3" t="s">
        <v>5</v>
      </c>
      <c r="F5" s="4"/>
      <c r="G5" s="5" t="s">
        <v>6</v>
      </c>
      <c r="H5" s="6"/>
    </row>
    <row r="6" spans="1:8" ht="28.05" customHeight="1">
      <c r="A6" s="7">
        <f>COUNTA(原始年度数据!A4:A19)</f>
        <v>16</v>
      </c>
      <c r="B6" s="8"/>
      <c r="C6" s="9">
        <f>COUNTBLANK(原始年度数据!B4:B19)</f>
        <v>4</v>
      </c>
      <c r="D6" s="10"/>
      <c r="E6" s="9">
        <f>COUNTBLANK(原始年度数据!F4:F19)</f>
        <v>4</v>
      </c>
      <c r="F6" s="10"/>
      <c r="G6" s="11" t="str">
        <f>"2020、2022、2023"</f>
        <v>2020、2022、2023</v>
      </c>
      <c r="H6" s="12"/>
    </row>
    <row r="8" spans="1:8" ht="15.6">
      <c r="A8" s="70" t="s">
        <v>7</v>
      </c>
      <c r="B8" s="68"/>
      <c r="C8" s="68"/>
      <c r="D8" s="68"/>
      <c r="E8" s="68"/>
      <c r="F8" s="68"/>
      <c r="G8" s="68"/>
      <c r="H8" s="68"/>
    </row>
    <row r="9" spans="1:8" ht="34.049999999999997" customHeight="1">
      <c r="A9" s="16" t="s">
        <v>8</v>
      </c>
      <c r="B9" s="13" t="s">
        <v>9</v>
      </c>
      <c r="C9" s="19" t="s">
        <v>10</v>
      </c>
      <c r="D9" s="71" t="s">
        <v>11</v>
      </c>
      <c r="E9" s="71"/>
      <c r="F9" s="71"/>
      <c r="G9" s="71"/>
      <c r="H9" s="71"/>
    </row>
    <row r="10" spans="1:8" ht="34.049999999999997" customHeight="1">
      <c r="A10" s="17" t="s">
        <v>12</v>
      </c>
      <c r="B10" s="14" t="s">
        <v>13</v>
      </c>
      <c r="C10" s="20" t="s">
        <v>10</v>
      </c>
      <c r="D10" s="72" t="s">
        <v>14</v>
      </c>
      <c r="E10" s="72"/>
      <c r="F10" s="72"/>
      <c r="G10" s="72"/>
      <c r="H10" s="72"/>
    </row>
    <row r="11" spans="1:8" ht="34.049999999999997" customHeight="1">
      <c r="A11" s="17" t="s">
        <v>15</v>
      </c>
      <c r="B11" s="14" t="s">
        <v>16</v>
      </c>
      <c r="C11" s="20" t="s">
        <v>10</v>
      </c>
      <c r="D11" s="72" t="s">
        <v>17</v>
      </c>
      <c r="E11" s="72"/>
      <c r="F11" s="72"/>
      <c r="G11" s="72"/>
      <c r="H11" s="72"/>
    </row>
    <row r="12" spans="1:8" ht="34.049999999999997" customHeight="1">
      <c r="A12" s="18" t="s">
        <v>18</v>
      </c>
      <c r="B12" s="15" t="s">
        <v>19</v>
      </c>
      <c r="C12" s="21" t="s">
        <v>10</v>
      </c>
      <c r="D12" s="73" t="s">
        <v>20</v>
      </c>
      <c r="E12" s="73"/>
      <c r="F12" s="73"/>
      <c r="G12" s="73"/>
      <c r="H12" s="73"/>
    </row>
    <row r="14" spans="1:8" ht="15.6">
      <c r="A14" s="70" t="s">
        <v>21</v>
      </c>
      <c r="B14" s="68"/>
      <c r="C14" s="68"/>
      <c r="D14" s="68"/>
      <c r="E14" s="68"/>
      <c r="F14" s="68"/>
      <c r="G14" s="68"/>
      <c r="H14" s="68"/>
    </row>
    <row r="15" spans="1:8" ht="34.049999999999997" customHeight="1">
      <c r="A15" s="22" t="s">
        <v>22</v>
      </c>
      <c r="B15" s="23" t="s">
        <v>23</v>
      </c>
      <c r="C15" s="23" t="s">
        <v>24</v>
      </c>
      <c r="D15" s="23" t="s">
        <v>25</v>
      </c>
      <c r="E15" s="23" t="s">
        <v>26</v>
      </c>
      <c r="F15" s="23" t="s">
        <v>27</v>
      </c>
      <c r="G15" s="23" t="s">
        <v>28</v>
      </c>
      <c r="H15" s="24" t="s">
        <v>29</v>
      </c>
    </row>
    <row r="16" spans="1:8" ht="34.049999999999997" customHeight="1">
      <c r="A16" s="25" t="s">
        <v>30</v>
      </c>
      <c r="B16" s="25" t="s">
        <v>31</v>
      </c>
      <c r="C16" s="28">
        <v>16</v>
      </c>
      <c r="D16" s="25" t="s">
        <v>32</v>
      </c>
      <c r="E16" s="25" t="s">
        <v>33</v>
      </c>
      <c r="F16" s="25" t="s">
        <v>34</v>
      </c>
      <c r="G16" s="25" t="s">
        <v>35</v>
      </c>
      <c r="H16" s="25" t="s">
        <v>36</v>
      </c>
    </row>
    <row r="17" spans="1:8" ht="34.049999999999997" customHeight="1">
      <c r="A17" s="26" t="s">
        <v>37</v>
      </c>
      <c r="B17" s="26" t="s">
        <v>38</v>
      </c>
      <c r="C17" s="29">
        <v>46</v>
      </c>
      <c r="D17" s="26" t="s">
        <v>32</v>
      </c>
      <c r="E17" s="26" t="s">
        <v>39</v>
      </c>
      <c r="F17" s="26" t="s">
        <v>34</v>
      </c>
      <c r="G17" s="26" t="s">
        <v>35</v>
      </c>
      <c r="H17" s="26" t="s">
        <v>40</v>
      </c>
    </row>
    <row r="18" spans="1:8" ht="34.049999999999997" customHeight="1">
      <c r="A18" s="26" t="s">
        <v>41</v>
      </c>
      <c r="B18" s="26" t="s">
        <v>42</v>
      </c>
      <c r="C18" s="29">
        <v>37</v>
      </c>
      <c r="D18" s="26" t="s">
        <v>32</v>
      </c>
      <c r="E18" s="26" t="s">
        <v>43</v>
      </c>
      <c r="F18" s="26" t="s">
        <v>34</v>
      </c>
      <c r="G18" s="26" t="s">
        <v>35</v>
      </c>
      <c r="H18" s="26" t="s">
        <v>44</v>
      </c>
    </row>
    <row r="19" spans="1:8" ht="34.049999999999997" customHeight="1">
      <c r="A19" s="26" t="s">
        <v>45</v>
      </c>
      <c r="B19" s="26" t="s">
        <v>46</v>
      </c>
      <c r="C19" s="29">
        <v>37</v>
      </c>
      <c r="D19" s="26" t="s">
        <v>47</v>
      </c>
      <c r="E19" s="26" t="s">
        <v>48</v>
      </c>
      <c r="F19" s="26" t="s">
        <v>34</v>
      </c>
      <c r="G19" s="26" t="s">
        <v>35</v>
      </c>
      <c r="H19" s="26" t="s">
        <v>49</v>
      </c>
    </row>
    <row r="20" spans="1:8" ht="34.049999999999997" customHeight="1">
      <c r="A20" s="26" t="s">
        <v>50</v>
      </c>
      <c r="B20" s="26" t="s">
        <v>51</v>
      </c>
      <c r="C20" s="26"/>
      <c r="D20" s="26"/>
      <c r="E20" s="26"/>
      <c r="F20" s="26" t="s">
        <v>52</v>
      </c>
      <c r="G20" s="26"/>
      <c r="H20" s="26"/>
    </row>
    <row r="21" spans="1:8" ht="34.049999999999997" customHeight="1">
      <c r="A21" s="26" t="s">
        <v>53</v>
      </c>
      <c r="B21" s="26" t="s">
        <v>54</v>
      </c>
      <c r="C21" s="26"/>
      <c r="D21" s="26"/>
      <c r="E21" s="26"/>
      <c r="F21" s="26" t="s">
        <v>55</v>
      </c>
      <c r="G21" s="26"/>
      <c r="H21" s="26"/>
    </row>
    <row r="22" spans="1:8" ht="34.049999999999997" customHeight="1">
      <c r="A22" s="27" t="s">
        <v>56</v>
      </c>
      <c r="B22" s="27" t="s">
        <v>57</v>
      </c>
      <c r="C22" s="27"/>
      <c r="D22" s="27"/>
      <c r="E22" s="27"/>
      <c r="F22" s="27" t="s">
        <v>58</v>
      </c>
      <c r="G22" s="27"/>
      <c r="H22" s="27"/>
    </row>
  </sheetData>
  <mergeCells count="9">
    <mergeCell ref="D10:H10"/>
    <mergeCell ref="D11:H11"/>
    <mergeCell ref="D12:H12"/>
    <mergeCell ref="A14:H14"/>
    <mergeCell ref="A1:H1"/>
    <mergeCell ref="A2:H2"/>
    <mergeCell ref="A4:H4"/>
    <mergeCell ref="A8:H8"/>
    <mergeCell ref="D9:H9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showGridLines="0" topLeftCell="D7" workbookViewId="0">
      <selection sqref="A1:G1"/>
    </sheetView>
  </sheetViews>
  <sheetFormatPr defaultRowHeight="13.8"/>
  <cols>
    <col min="1" max="1" width="10" customWidth="1"/>
    <col min="2" max="2" width="23" customWidth="1"/>
    <col min="3" max="3" width="34" customWidth="1"/>
    <col min="4" max="4" width="48" customWidth="1"/>
    <col min="5" max="6" width="44" customWidth="1"/>
    <col min="7" max="7" width="42" customWidth="1"/>
  </cols>
  <sheetData>
    <row r="1" spans="1:7" ht="34.049999999999997" customHeight="1">
      <c r="A1" s="67" t="s">
        <v>59</v>
      </c>
      <c r="B1" s="68"/>
      <c r="C1" s="68"/>
      <c r="D1" s="68"/>
      <c r="E1" s="68"/>
      <c r="F1" s="68"/>
      <c r="G1" s="68"/>
    </row>
    <row r="2" spans="1:7" ht="34.049999999999997" customHeight="1">
      <c r="A2" s="69" t="s">
        <v>60</v>
      </c>
      <c r="B2" s="69"/>
      <c r="C2" s="69"/>
      <c r="D2" s="69"/>
      <c r="E2" s="69"/>
      <c r="F2" s="69"/>
      <c r="G2" s="69"/>
    </row>
    <row r="4" spans="1:7">
      <c r="A4" s="22" t="s">
        <v>61</v>
      </c>
      <c r="B4" s="23" t="s">
        <v>62</v>
      </c>
      <c r="C4" s="23" t="s">
        <v>63</v>
      </c>
      <c r="D4" s="23" t="s">
        <v>64</v>
      </c>
      <c r="E4" s="23" t="s">
        <v>65</v>
      </c>
      <c r="F4" s="23" t="s">
        <v>66</v>
      </c>
      <c r="G4" s="24" t="s">
        <v>67</v>
      </c>
    </row>
    <row r="5" spans="1:7" ht="112.05" customHeight="1">
      <c r="A5" s="30" t="s">
        <v>68</v>
      </c>
      <c r="B5" s="33" t="s">
        <v>69</v>
      </c>
      <c r="C5" s="36" t="s">
        <v>70</v>
      </c>
      <c r="D5" s="25" t="s">
        <v>71</v>
      </c>
      <c r="E5" s="25" t="s">
        <v>72</v>
      </c>
      <c r="F5" s="25" t="s">
        <v>73</v>
      </c>
      <c r="G5" s="25" t="s">
        <v>74</v>
      </c>
    </row>
    <row r="6" spans="1:7" ht="112.05" customHeight="1">
      <c r="A6" s="31" t="s">
        <v>68</v>
      </c>
      <c r="B6" s="34" t="s">
        <v>75</v>
      </c>
      <c r="C6" s="37" t="s">
        <v>76</v>
      </c>
      <c r="D6" s="26" t="s">
        <v>77</v>
      </c>
      <c r="E6" s="26" t="s">
        <v>78</v>
      </c>
      <c r="F6" s="26" t="s">
        <v>79</v>
      </c>
      <c r="G6" s="26" t="s">
        <v>80</v>
      </c>
    </row>
    <row r="7" spans="1:7" ht="112.05" customHeight="1">
      <c r="A7" s="31" t="s">
        <v>81</v>
      </c>
      <c r="B7" s="34" t="s">
        <v>69</v>
      </c>
      <c r="C7" s="37" t="s">
        <v>82</v>
      </c>
      <c r="D7" s="26" t="s">
        <v>83</v>
      </c>
      <c r="E7" s="26" t="s">
        <v>84</v>
      </c>
      <c r="F7" s="26" t="s">
        <v>85</v>
      </c>
      <c r="G7" s="26" t="s">
        <v>86</v>
      </c>
    </row>
    <row r="8" spans="1:7" ht="112.05" customHeight="1">
      <c r="A8" s="31" t="s">
        <v>81</v>
      </c>
      <c r="B8" s="34" t="s">
        <v>75</v>
      </c>
      <c r="C8" s="37" t="s">
        <v>87</v>
      </c>
      <c r="D8" s="26" t="s">
        <v>88</v>
      </c>
      <c r="E8" s="26" t="s">
        <v>89</v>
      </c>
      <c r="F8" s="26" t="s">
        <v>90</v>
      </c>
      <c r="G8" s="26" t="s">
        <v>91</v>
      </c>
    </row>
    <row r="9" spans="1:7" ht="112.05" customHeight="1">
      <c r="A9" s="31" t="s">
        <v>92</v>
      </c>
      <c r="B9" s="34" t="s">
        <v>69</v>
      </c>
      <c r="C9" s="37" t="s">
        <v>93</v>
      </c>
      <c r="D9" s="26" t="s">
        <v>94</v>
      </c>
      <c r="E9" s="26" t="s">
        <v>95</v>
      </c>
      <c r="F9" s="26" t="s">
        <v>96</v>
      </c>
      <c r="G9" s="26" t="s">
        <v>97</v>
      </c>
    </row>
    <row r="10" spans="1:7" ht="112.05" customHeight="1">
      <c r="A10" s="32" t="s">
        <v>92</v>
      </c>
      <c r="B10" s="35" t="s">
        <v>98</v>
      </c>
      <c r="C10" s="38" t="s">
        <v>99</v>
      </c>
      <c r="D10" s="27" t="s">
        <v>100</v>
      </c>
      <c r="E10" s="27" t="s">
        <v>101</v>
      </c>
      <c r="F10" s="27" t="s">
        <v>102</v>
      </c>
      <c r="G10" s="27" t="s">
        <v>103</v>
      </c>
    </row>
  </sheetData>
  <mergeCells count="2">
    <mergeCell ref="A1:G1"/>
    <mergeCell ref="A2:G2"/>
  </mergeCells>
  <phoneticPr fontId="1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showGridLines="0" topLeftCell="A3" workbookViewId="0">
      <selection sqref="A1:K1"/>
    </sheetView>
  </sheetViews>
  <sheetFormatPr defaultRowHeight="13.8"/>
  <cols>
    <col min="1" max="1" width="3" customWidth="1"/>
    <col min="2" max="2" width="22" customWidth="1"/>
    <col min="3" max="3" width="5" customWidth="1"/>
    <col min="4" max="4" width="22" customWidth="1"/>
    <col min="5" max="5" width="5" customWidth="1"/>
    <col min="6" max="6" width="24" customWidth="1"/>
    <col min="7" max="7" width="5" customWidth="1"/>
    <col min="8" max="8" width="24" customWidth="1"/>
    <col min="9" max="9" width="5" customWidth="1"/>
    <col min="10" max="10" width="25" customWidth="1"/>
    <col min="11" max="11" width="3" customWidth="1"/>
  </cols>
  <sheetData>
    <row r="1" spans="1:11" ht="34.049999999999997" customHeight="1">
      <c r="A1" s="67" t="s">
        <v>104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3" spans="1:11" ht="15.6">
      <c r="B3" s="70" t="s">
        <v>105</v>
      </c>
      <c r="C3" s="68"/>
      <c r="D3" s="68"/>
      <c r="E3" s="68"/>
      <c r="F3" s="68"/>
      <c r="G3" s="68"/>
      <c r="H3" s="68"/>
      <c r="I3" s="68"/>
      <c r="J3" s="68"/>
    </row>
    <row r="5" spans="1:11">
      <c r="B5" s="74" t="s">
        <v>106</v>
      </c>
      <c r="C5" s="77" t="s">
        <v>107</v>
      </c>
      <c r="D5" s="78" t="s">
        <v>108</v>
      </c>
      <c r="E5" s="77" t="s">
        <v>107</v>
      </c>
      <c r="F5" s="78" t="s">
        <v>109</v>
      </c>
      <c r="G5" s="77" t="s">
        <v>107</v>
      </c>
      <c r="H5" s="78" t="s">
        <v>110</v>
      </c>
      <c r="I5" s="77" t="s">
        <v>107</v>
      </c>
      <c r="J5" s="74" t="s">
        <v>111</v>
      </c>
    </row>
    <row r="6" spans="1:11">
      <c r="B6" s="75"/>
      <c r="C6" s="77"/>
      <c r="D6" s="79"/>
      <c r="E6" s="77"/>
      <c r="F6" s="79"/>
      <c r="G6" s="77"/>
      <c r="H6" s="79"/>
      <c r="I6" s="77"/>
      <c r="J6" s="75"/>
    </row>
    <row r="7" spans="1:11">
      <c r="B7" s="76"/>
      <c r="C7" s="77"/>
      <c r="D7" s="80"/>
      <c r="E7" s="77"/>
      <c r="F7" s="80"/>
      <c r="G7" s="77"/>
      <c r="H7" s="80"/>
      <c r="I7" s="77"/>
      <c r="J7" s="76"/>
    </row>
    <row r="8" spans="1:11">
      <c r="B8" s="81" t="s">
        <v>112</v>
      </c>
      <c r="C8" s="81"/>
      <c r="D8" s="81"/>
      <c r="E8" s="81"/>
      <c r="F8" s="81"/>
      <c r="G8" s="81"/>
      <c r="H8" s="81"/>
      <c r="I8" s="81"/>
      <c r="J8" s="81"/>
    </row>
    <row r="9" spans="1:11">
      <c r="B9" s="81"/>
      <c r="C9" s="81"/>
      <c r="D9" s="81"/>
      <c r="E9" s="81"/>
      <c r="F9" s="81"/>
      <c r="G9" s="81"/>
      <c r="H9" s="81"/>
      <c r="I9" s="81"/>
      <c r="J9" s="81"/>
    </row>
    <row r="12" spans="1:11" ht="15.6">
      <c r="B12" s="70" t="s">
        <v>113</v>
      </c>
      <c r="C12" s="68"/>
      <c r="D12" s="68"/>
      <c r="E12" s="68"/>
      <c r="F12" s="68"/>
      <c r="G12" s="68"/>
      <c r="H12" s="68"/>
      <c r="I12" s="68"/>
      <c r="J12" s="68"/>
    </row>
    <row r="14" spans="1:11">
      <c r="B14" s="74" t="s">
        <v>114</v>
      </c>
      <c r="C14" s="77" t="s">
        <v>107</v>
      </c>
      <c r="D14" s="78" t="s">
        <v>115</v>
      </c>
      <c r="E14" s="77" t="s">
        <v>107</v>
      </c>
      <c r="F14" s="78" t="s">
        <v>116</v>
      </c>
      <c r="G14" s="77" t="s">
        <v>107</v>
      </c>
      <c r="H14" s="78" t="s">
        <v>117</v>
      </c>
      <c r="I14" s="77" t="s">
        <v>107</v>
      </c>
      <c r="J14" s="78" t="s">
        <v>118</v>
      </c>
    </row>
    <row r="15" spans="1:11">
      <c r="B15" s="75"/>
      <c r="C15" s="77"/>
      <c r="D15" s="79"/>
      <c r="E15" s="77"/>
      <c r="F15" s="79"/>
      <c r="G15" s="77"/>
      <c r="H15" s="79"/>
      <c r="I15" s="77"/>
      <c r="J15" s="79"/>
    </row>
    <row r="16" spans="1:11">
      <c r="B16" s="76"/>
      <c r="C16" s="77"/>
      <c r="D16" s="80"/>
      <c r="E16" s="77"/>
      <c r="F16" s="80"/>
      <c r="G16" s="77"/>
      <c r="H16" s="80"/>
      <c r="I16" s="77"/>
      <c r="J16" s="80"/>
    </row>
    <row r="17" spans="2:10">
      <c r="B17" s="81" t="s">
        <v>119</v>
      </c>
      <c r="C17" s="81"/>
      <c r="D17" s="81"/>
      <c r="E17" s="81"/>
      <c r="F17" s="81"/>
      <c r="G17" s="81"/>
      <c r="H17" s="81"/>
      <c r="I17" s="81"/>
      <c r="J17" s="81"/>
    </row>
    <row r="18" spans="2:10">
      <c r="B18" s="81"/>
      <c r="C18" s="81"/>
      <c r="D18" s="81"/>
      <c r="E18" s="81"/>
      <c r="F18" s="81"/>
      <c r="G18" s="81"/>
      <c r="H18" s="81"/>
      <c r="I18" s="81"/>
      <c r="J18" s="81"/>
    </row>
    <row r="21" spans="2:10" ht="15.6">
      <c r="B21" s="70" t="s">
        <v>120</v>
      </c>
      <c r="C21" s="68"/>
      <c r="D21" s="68"/>
      <c r="E21" s="68"/>
      <c r="F21" s="68"/>
      <c r="G21" s="68"/>
      <c r="H21" s="68"/>
      <c r="I21" s="68"/>
      <c r="J21" s="68"/>
    </row>
    <row r="23" spans="2:10">
      <c r="B23" s="74" t="s">
        <v>121</v>
      </c>
      <c r="C23" s="77" t="s">
        <v>107</v>
      </c>
      <c r="D23" s="78" t="s">
        <v>122</v>
      </c>
      <c r="E23" s="77" t="s">
        <v>107</v>
      </c>
      <c r="F23" s="78" t="s">
        <v>123</v>
      </c>
      <c r="G23" s="77" t="s">
        <v>107</v>
      </c>
      <c r="H23" s="78" t="s">
        <v>124</v>
      </c>
      <c r="I23" s="77" t="s">
        <v>107</v>
      </c>
      <c r="J23" s="74" t="s">
        <v>125</v>
      </c>
    </row>
    <row r="24" spans="2:10">
      <c r="B24" s="75"/>
      <c r="C24" s="77"/>
      <c r="D24" s="79"/>
      <c r="E24" s="77"/>
      <c r="F24" s="79"/>
      <c r="G24" s="77"/>
      <c r="H24" s="79"/>
      <c r="I24" s="77"/>
      <c r="J24" s="75"/>
    </row>
    <row r="25" spans="2:10">
      <c r="B25" s="76"/>
      <c r="C25" s="77"/>
      <c r="D25" s="80"/>
      <c r="E25" s="77"/>
      <c r="F25" s="80"/>
      <c r="G25" s="77"/>
      <c r="H25" s="80"/>
      <c r="I25" s="77"/>
      <c r="J25" s="76"/>
    </row>
    <row r="26" spans="2:10">
      <c r="B26" s="81" t="s">
        <v>126</v>
      </c>
      <c r="C26" s="81"/>
      <c r="D26" s="81"/>
      <c r="E26" s="81"/>
      <c r="F26" s="81"/>
      <c r="G26" s="81"/>
      <c r="H26" s="81"/>
      <c r="I26" s="81"/>
      <c r="J26" s="81"/>
    </row>
    <row r="27" spans="2:10">
      <c r="B27" s="81"/>
      <c r="C27" s="81"/>
      <c r="D27" s="81"/>
      <c r="E27" s="81"/>
      <c r="F27" s="81"/>
      <c r="G27" s="81"/>
      <c r="H27" s="81"/>
      <c r="I27" s="81"/>
      <c r="J27" s="81"/>
    </row>
  </sheetData>
  <mergeCells count="34">
    <mergeCell ref="B26:J27"/>
    <mergeCell ref="B17:J18"/>
    <mergeCell ref="B21:J21"/>
    <mergeCell ref="B23:B25"/>
    <mergeCell ref="C23:C25"/>
    <mergeCell ref="D23:D25"/>
    <mergeCell ref="E23:E25"/>
    <mergeCell ref="F23:F25"/>
    <mergeCell ref="G23:G25"/>
    <mergeCell ref="H23:H25"/>
    <mergeCell ref="I23:I25"/>
    <mergeCell ref="J23:J25"/>
    <mergeCell ref="B8:J9"/>
    <mergeCell ref="B12:J12"/>
    <mergeCell ref="B14:B16"/>
    <mergeCell ref="C14:C16"/>
    <mergeCell ref="D14:D16"/>
    <mergeCell ref="E14:E16"/>
    <mergeCell ref="F14:F16"/>
    <mergeCell ref="G14:G16"/>
    <mergeCell ref="H14:H16"/>
    <mergeCell ref="I14:I16"/>
    <mergeCell ref="J14:J16"/>
    <mergeCell ref="A1:K1"/>
    <mergeCell ref="B3:J3"/>
    <mergeCell ref="B5:B7"/>
    <mergeCell ref="C5:C7"/>
    <mergeCell ref="D5:D7"/>
    <mergeCell ref="E5:E7"/>
    <mergeCell ref="F5:F7"/>
    <mergeCell ref="G5:G7"/>
    <mergeCell ref="H5:H7"/>
    <mergeCell ref="I5:I7"/>
    <mergeCell ref="J5:J7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"/>
  <sheetViews>
    <sheetView showGridLines="0" zoomScale="86" workbookViewId="0">
      <selection activeCell="E12" sqref="E12"/>
    </sheetView>
  </sheetViews>
  <sheetFormatPr defaultRowHeight="13.8"/>
  <cols>
    <col min="1" max="1" width="9" customWidth="1"/>
    <col min="2" max="2" width="16" customWidth="1"/>
    <col min="3" max="3" width="20" customWidth="1"/>
    <col min="4" max="4" width="16" customWidth="1"/>
    <col min="5" max="5" width="20" customWidth="1"/>
    <col min="6" max="6" width="17" customWidth="1"/>
    <col min="7" max="7" width="26" customWidth="1"/>
    <col min="8" max="8" width="13" customWidth="1"/>
    <col min="9" max="9" width="27" customWidth="1"/>
    <col min="10" max="10" width="16" customWidth="1"/>
    <col min="11" max="11" width="27" customWidth="1"/>
    <col min="12" max="13" width="48" customWidth="1"/>
  </cols>
  <sheetData>
    <row r="1" spans="1:13" ht="34.049999999999997" customHeight="1">
      <c r="A1" s="67" t="s">
        <v>127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34.049999999999997" customHeight="1">
      <c r="A2" s="82" t="s">
        <v>128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</row>
    <row r="3" spans="1:13" ht="31.05" customHeight="1">
      <c r="A3" s="22" t="s">
        <v>129</v>
      </c>
      <c r="B3" s="23" t="s">
        <v>130</v>
      </c>
      <c r="C3" s="23" t="s">
        <v>131</v>
      </c>
      <c r="D3" s="23" t="s">
        <v>132</v>
      </c>
      <c r="E3" s="23" t="s">
        <v>133</v>
      </c>
      <c r="F3" s="23" t="s">
        <v>134</v>
      </c>
      <c r="G3" s="23" t="s">
        <v>135</v>
      </c>
      <c r="H3" s="23" t="s">
        <v>136</v>
      </c>
      <c r="I3" s="23" t="s">
        <v>137</v>
      </c>
      <c r="J3" s="23" t="s">
        <v>138</v>
      </c>
      <c r="K3" s="23" t="s">
        <v>139</v>
      </c>
      <c r="L3" s="23" t="s">
        <v>140</v>
      </c>
      <c r="M3" s="24" t="s">
        <v>141</v>
      </c>
    </row>
    <row r="4" spans="1:13" ht="31.05" customHeight="1">
      <c r="A4" s="28">
        <v>2010</v>
      </c>
      <c r="B4" s="40">
        <v>848</v>
      </c>
      <c r="C4" s="25" t="s">
        <v>142</v>
      </c>
      <c r="D4" s="40">
        <v>7.104247</v>
      </c>
      <c r="E4" s="25" t="s">
        <v>143</v>
      </c>
      <c r="F4" s="40">
        <v>35.521236000000002</v>
      </c>
      <c r="G4" s="25" t="s">
        <v>143</v>
      </c>
      <c r="H4" s="40">
        <v>215.47</v>
      </c>
      <c r="I4" s="25" t="s">
        <v>144</v>
      </c>
      <c r="J4" s="40">
        <v>136.22999999999999</v>
      </c>
      <c r="K4" s="25" t="s">
        <v>144</v>
      </c>
      <c r="L4" s="25" t="s">
        <v>145</v>
      </c>
      <c r="M4" s="25" t="s">
        <v>146</v>
      </c>
    </row>
    <row r="5" spans="1:13" ht="31.05" customHeight="1">
      <c r="A5" s="29">
        <v>2011</v>
      </c>
      <c r="B5" s="41">
        <v>1098.5999999999999</v>
      </c>
      <c r="C5" s="26" t="s">
        <v>147</v>
      </c>
      <c r="D5" s="41">
        <v>9.1999999999999993</v>
      </c>
      <c r="E5" s="26" t="s">
        <v>147</v>
      </c>
      <c r="F5" s="41">
        <v>46</v>
      </c>
      <c r="G5" s="26" t="s">
        <v>147</v>
      </c>
      <c r="H5" s="41">
        <v>250.11</v>
      </c>
      <c r="I5" s="26" t="s">
        <v>144</v>
      </c>
      <c r="J5" s="41">
        <v>147.02000000000001</v>
      </c>
      <c r="K5" s="26" t="s">
        <v>144</v>
      </c>
      <c r="L5" s="26" t="s">
        <v>148</v>
      </c>
      <c r="M5" s="26" t="s">
        <v>149</v>
      </c>
    </row>
    <row r="6" spans="1:13" ht="31.05" customHeight="1">
      <c r="A6" s="29">
        <v>2012</v>
      </c>
      <c r="B6" s="41">
        <v>1152</v>
      </c>
      <c r="C6" s="26" t="s">
        <v>142</v>
      </c>
      <c r="D6" s="41"/>
      <c r="E6" s="26"/>
      <c r="F6" s="41">
        <v>52</v>
      </c>
      <c r="G6" s="26" t="s">
        <v>142</v>
      </c>
      <c r="H6" s="41">
        <v>333.3</v>
      </c>
      <c r="I6" s="26" t="s">
        <v>150</v>
      </c>
      <c r="J6" s="41"/>
      <c r="K6" s="26"/>
      <c r="L6" s="26" t="s">
        <v>151</v>
      </c>
      <c r="M6" s="26" t="s">
        <v>152</v>
      </c>
    </row>
    <row r="7" spans="1:13" ht="31.05" customHeight="1">
      <c r="A7" s="29">
        <v>2013</v>
      </c>
      <c r="B7" s="41">
        <v>1295</v>
      </c>
      <c r="C7" s="26" t="s">
        <v>153</v>
      </c>
      <c r="D7" s="41">
        <v>12.63</v>
      </c>
      <c r="E7" s="26" t="s">
        <v>153</v>
      </c>
      <c r="F7" s="41">
        <v>63.2</v>
      </c>
      <c r="G7" s="26" t="s">
        <v>153</v>
      </c>
      <c r="H7" s="41">
        <v>316.8</v>
      </c>
      <c r="I7" s="26" t="s">
        <v>154</v>
      </c>
      <c r="J7" s="41">
        <v>187.54560000000001</v>
      </c>
      <c r="K7" s="26" t="s">
        <v>154</v>
      </c>
      <c r="L7" s="26" t="s">
        <v>155</v>
      </c>
      <c r="M7" s="26" t="s">
        <v>156</v>
      </c>
    </row>
    <row r="8" spans="1:13" ht="31.05" customHeight="1">
      <c r="A8" s="29">
        <v>2014</v>
      </c>
      <c r="B8" s="41">
        <v>1553.4</v>
      </c>
      <c r="C8" s="26" t="s">
        <v>157</v>
      </c>
      <c r="D8" s="41">
        <v>15.800700000000001</v>
      </c>
      <c r="E8" s="26" t="s">
        <v>157</v>
      </c>
      <c r="F8" s="41">
        <v>79</v>
      </c>
      <c r="G8" s="26" t="s">
        <v>147</v>
      </c>
      <c r="H8" s="41">
        <v>361.1</v>
      </c>
      <c r="I8" s="26" t="s">
        <v>158</v>
      </c>
      <c r="J8" s="41">
        <v>212.91</v>
      </c>
      <c r="K8" s="26" t="s">
        <v>158</v>
      </c>
      <c r="L8" s="26" t="s">
        <v>159</v>
      </c>
      <c r="M8" s="26" t="s">
        <v>160</v>
      </c>
    </row>
    <row r="9" spans="1:13" ht="31.05" customHeight="1">
      <c r="A9" s="29">
        <v>2015</v>
      </c>
      <c r="B9" s="41">
        <v>1818.72</v>
      </c>
      <c r="C9" s="26" t="s">
        <v>157</v>
      </c>
      <c r="D9" s="41">
        <v>18.792200000000001</v>
      </c>
      <c r="E9" s="26" t="s">
        <v>157</v>
      </c>
      <c r="F9" s="41">
        <v>94</v>
      </c>
      <c r="G9" s="26" t="s">
        <v>161</v>
      </c>
      <c r="H9" s="41">
        <v>409</v>
      </c>
      <c r="I9" s="26" t="s">
        <v>150</v>
      </c>
      <c r="J9" s="41"/>
      <c r="K9" s="26"/>
      <c r="L9" s="26" t="s">
        <v>162</v>
      </c>
      <c r="M9" s="26" t="s">
        <v>163</v>
      </c>
    </row>
    <row r="10" spans="1:13" ht="31.05" customHeight="1">
      <c r="A10" s="29">
        <v>2016</v>
      </c>
      <c r="B10" s="41">
        <v>2086</v>
      </c>
      <c r="C10" s="26" t="s">
        <v>157</v>
      </c>
      <c r="D10" s="41">
        <v>21.917200000000001</v>
      </c>
      <c r="E10" s="26" t="s">
        <v>157</v>
      </c>
      <c r="F10" s="41"/>
      <c r="G10" s="26"/>
      <c r="H10" s="41">
        <v>430</v>
      </c>
      <c r="I10" s="26" t="s">
        <v>150</v>
      </c>
      <c r="J10" s="41"/>
      <c r="K10" s="26"/>
      <c r="L10" s="26" t="s">
        <v>164</v>
      </c>
      <c r="M10" s="26" t="s">
        <v>165</v>
      </c>
    </row>
    <row r="11" spans="1:13" ht="31.05" customHeight="1">
      <c r="A11" s="29">
        <v>2017</v>
      </c>
      <c r="B11" s="41">
        <v>2392</v>
      </c>
      <c r="C11" s="26" t="s">
        <v>147</v>
      </c>
      <c r="D11" s="41">
        <v>26.134699999999999</v>
      </c>
      <c r="E11" s="26" t="s">
        <v>147</v>
      </c>
      <c r="F11" s="41">
        <v>130</v>
      </c>
      <c r="G11" s="26" t="s">
        <v>142</v>
      </c>
      <c r="H11" s="41"/>
      <c r="I11" s="26"/>
      <c r="J11" s="41"/>
      <c r="K11" s="26"/>
      <c r="L11" s="26" t="s">
        <v>166</v>
      </c>
      <c r="M11" s="26" t="s">
        <v>167</v>
      </c>
    </row>
    <row r="12" spans="1:13" ht="31.05" customHeight="1">
      <c r="A12" s="29">
        <v>2018</v>
      </c>
      <c r="B12" s="41">
        <v>2660</v>
      </c>
      <c r="C12" s="26" t="s">
        <v>142</v>
      </c>
      <c r="D12" s="41"/>
      <c r="E12" s="26"/>
      <c r="F12" s="41">
        <v>142</v>
      </c>
      <c r="G12" s="26" t="s">
        <v>142</v>
      </c>
      <c r="H12" s="41">
        <v>380</v>
      </c>
      <c r="I12" s="26" t="s">
        <v>150</v>
      </c>
      <c r="J12" s="41"/>
      <c r="K12" s="26"/>
      <c r="L12" s="26" t="s">
        <v>168</v>
      </c>
      <c r="M12" s="26" t="s">
        <v>169</v>
      </c>
    </row>
    <row r="13" spans="1:13" ht="31.05" customHeight="1">
      <c r="A13" s="29">
        <v>2019</v>
      </c>
      <c r="B13" s="41">
        <v>2800</v>
      </c>
      <c r="C13" s="26" t="s">
        <v>142</v>
      </c>
      <c r="D13" s="41"/>
      <c r="E13" s="26"/>
      <c r="F13" s="41">
        <v>165</v>
      </c>
      <c r="G13" s="26" t="s">
        <v>142</v>
      </c>
      <c r="H13" s="41">
        <v>210.8</v>
      </c>
      <c r="I13" s="26" t="s">
        <v>158</v>
      </c>
      <c r="J13" s="41">
        <v>129.91999999999999</v>
      </c>
      <c r="K13" s="26" t="s">
        <v>158</v>
      </c>
      <c r="L13" s="26" t="s">
        <v>170</v>
      </c>
      <c r="M13" s="26" t="s">
        <v>171</v>
      </c>
    </row>
    <row r="14" spans="1:13" ht="31.05" customHeight="1">
      <c r="A14" s="29">
        <v>2020</v>
      </c>
      <c r="B14" s="41"/>
      <c r="C14" s="26"/>
      <c r="D14" s="41"/>
      <c r="E14" s="26"/>
      <c r="F14" s="41"/>
      <c r="G14" s="26"/>
      <c r="H14" s="41">
        <v>224.6</v>
      </c>
      <c r="I14" s="26" t="s">
        <v>158</v>
      </c>
      <c r="J14" s="41">
        <v>142.55000000000001</v>
      </c>
      <c r="K14" s="26" t="s">
        <v>158</v>
      </c>
      <c r="L14" s="26" t="s">
        <v>172</v>
      </c>
      <c r="M14" s="26" t="s">
        <v>173</v>
      </c>
    </row>
    <row r="15" spans="1:13" ht="31.05" customHeight="1">
      <c r="A15" s="29">
        <v>2021</v>
      </c>
      <c r="B15" s="41"/>
      <c r="C15" s="26"/>
      <c r="D15" s="41"/>
      <c r="E15" s="26"/>
      <c r="F15" s="41">
        <v>110</v>
      </c>
      <c r="G15" s="26" t="s">
        <v>142</v>
      </c>
      <c r="H15" s="41">
        <v>274.20339999999999</v>
      </c>
      <c r="I15" s="26" t="s">
        <v>174</v>
      </c>
      <c r="J15" s="41">
        <v>161.97319999999999</v>
      </c>
      <c r="K15" s="26" t="s">
        <v>174</v>
      </c>
      <c r="L15" s="26" t="s">
        <v>175</v>
      </c>
      <c r="M15" s="26" t="s">
        <v>176</v>
      </c>
    </row>
    <row r="16" spans="1:13" ht="31.05" customHeight="1">
      <c r="A16" s="29">
        <v>2022</v>
      </c>
      <c r="B16" s="41"/>
      <c r="C16" s="26"/>
      <c r="D16" s="41"/>
      <c r="E16" s="26"/>
      <c r="F16" s="41"/>
      <c r="G16" s="26"/>
      <c r="H16" s="41">
        <v>282.2414</v>
      </c>
      <c r="I16" s="26" t="s">
        <v>174</v>
      </c>
      <c r="J16" s="41">
        <v>171.2106</v>
      </c>
      <c r="K16" s="26" t="s">
        <v>174</v>
      </c>
      <c r="L16" s="26" t="s">
        <v>177</v>
      </c>
      <c r="M16" s="26" t="s">
        <v>178</v>
      </c>
    </row>
    <row r="17" spans="1:13" ht="31.05" customHeight="1">
      <c r="A17" s="29">
        <v>2023</v>
      </c>
      <c r="B17" s="41">
        <v>2363</v>
      </c>
      <c r="C17" s="26" t="s">
        <v>142</v>
      </c>
      <c r="D17" s="41"/>
      <c r="E17" s="26"/>
      <c r="F17" s="41">
        <v>191.5</v>
      </c>
      <c r="G17" s="26" t="s">
        <v>147</v>
      </c>
      <c r="H17" s="41">
        <v>288.30619999999999</v>
      </c>
      <c r="I17" s="26" t="s">
        <v>179</v>
      </c>
      <c r="J17" s="41">
        <v>176.17140000000001</v>
      </c>
      <c r="K17" s="26" t="s">
        <v>179</v>
      </c>
      <c r="L17" s="26" t="s">
        <v>180</v>
      </c>
      <c r="M17" s="26" t="s">
        <v>181</v>
      </c>
    </row>
    <row r="18" spans="1:13" ht="31.05" customHeight="1">
      <c r="A18" s="29">
        <v>2024</v>
      </c>
      <c r="B18" s="41">
        <v>2643</v>
      </c>
      <c r="C18" s="26" t="s">
        <v>142</v>
      </c>
      <c r="D18" s="41"/>
      <c r="E18" s="26"/>
      <c r="F18" s="41">
        <v>221</v>
      </c>
      <c r="G18" s="26" t="s">
        <v>142</v>
      </c>
      <c r="H18" s="41">
        <v>298.86500000000001</v>
      </c>
      <c r="I18" s="26" t="s">
        <v>144</v>
      </c>
      <c r="J18" s="41">
        <v>183.96539999999999</v>
      </c>
      <c r="K18" s="26" t="s">
        <v>144</v>
      </c>
      <c r="L18" s="26" t="s">
        <v>182</v>
      </c>
      <c r="M18" s="26" t="s">
        <v>183</v>
      </c>
    </row>
    <row r="19" spans="1:13" ht="31.05" customHeight="1">
      <c r="A19" s="39">
        <v>2025</v>
      </c>
      <c r="B19" s="42"/>
      <c r="C19" s="27"/>
      <c r="D19" s="42"/>
      <c r="E19" s="27"/>
      <c r="F19" s="42"/>
      <c r="G19" s="27"/>
      <c r="H19" s="42">
        <v>311.94</v>
      </c>
      <c r="I19" s="27" t="s">
        <v>158</v>
      </c>
      <c r="J19" s="42">
        <v>195.17</v>
      </c>
      <c r="K19" s="27" t="s">
        <v>158</v>
      </c>
      <c r="L19" s="27" t="s">
        <v>184</v>
      </c>
      <c r="M19" s="27" t="s">
        <v>185</v>
      </c>
    </row>
  </sheetData>
  <mergeCells count="2">
    <mergeCell ref="A1:M1"/>
    <mergeCell ref="A2:M2"/>
  </mergeCells>
  <phoneticPr fontId="1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showGridLines="0" topLeftCell="A12" workbookViewId="0">
      <selection sqref="A1:G1"/>
    </sheetView>
  </sheetViews>
  <sheetFormatPr defaultRowHeight="13.8"/>
  <cols>
    <col min="1" max="1" width="31" customWidth="1"/>
    <col min="2" max="2" width="15" customWidth="1"/>
    <col min="3" max="3" width="12" customWidth="1"/>
    <col min="4" max="4" width="18" customWidth="1"/>
    <col min="5" max="5" width="49" customWidth="1"/>
    <col min="6" max="6" width="10" customWidth="1"/>
    <col min="7" max="7" width="22" customWidth="1"/>
  </cols>
  <sheetData>
    <row r="1" spans="1:7" ht="34.049999999999997" customHeight="1">
      <c r="A1" s="67" t="s">
        <v>186</v>
      </c>
      <c r="B1" s="68"/>
      <c r="C1" s="68"/>
      <c r="D1" s="68"/>
      <c r="E1" s="68"/>
      <c r="F1" s="68"/>
      <c r="G1" s="68"/>
    </row>
    <row r="2" spans="1:7" ht="36" customHeight="1">
      <c r="A2" s="83" t="s">
        <v>187</v>
      </c>
      <c r="B2" s="83"/>
      <c r="C2" s="83"/>
      <c r="D2" s="83"/>
      <c r="E2" s="83"/>
      <c r="F2" s="83"/>
      <c r="G2" s="83"/>
    </row>
    <row r="3" spans="1:7" ht="31.05" customHeight="1">
      <c r="A3" s="22" t="s">
        <v>188</v>
      </c>
      <c r="B3" s="23" t="s">
        <v>189</v>
      </c>
      <c r="C3" s="23" t="s">
        <v>190</v>
      </c>
      <c r="D3" s="23" t="s">
        <v>191</v>
      </c>
      <c r="E3" s="23" t="s">
        <v>192</v>
      </c>
      <c r="F3" s="23" t="s">
        <v>193</v>
      </c>
      <c r="G3" s="24" t="s">
        <v>194</v>
      </c>
    </row>
    <row r="4" spans="1:7" ht="31.05" customHeight="1">
      <c r="A4" s="25" t="s">
        <v>195</v>
      </c>
      <c r="B4" s="40">
        <v>10500</v>
      </c>
      <c r="C4" s="25" t="s">
        <v>196</v>
      </c>
      <c r="D4" s="25" t="s">
        <v>197</v>
      </c>
      <c r="E4" s="25" t="s">
        <v>198</v>
      </c>
      <c r="F4" s="25" t="s">
        <v>199</v>
      </c>
      <c r="G4" s="25" t="s">
        <v>200</v>
      </c>
    </row>
    <row r="5" spans="1:7" ht="31.05" customHeight="1">
      <c r="A5" s="26" t="s">
        <v>201</v>
      </c>
      <c r="B5" s="41">
        <v>792.5</v>
      </c>
      <c r="C5" s="26" t="s">
        <v>202</v>
      </c>
      <c r="D5" s="26" t="s">
        <v>197</v>
      </c>
      <c r="E5" s="26" t="s">
        <v>203</v>
      </c>
      <c r="F5" s="26" t="s">
        <v>199</v>
      </c>
      <c r="G5" s="26" t="s">
        <v>200</v>
      </c>
    </row>
    <row r="6" spans="1:7" ht="31.05" customHeight="1">
      <c r="A6" s="26" t="s">
        <v>204</v>
      </c>
      <c r="B6" s="44">
        <v>2800</v>
      </c>
      <c r="C6" s="26" t="s">
        <v>196</v>
      </c>
      <c r="D6" s="26" t="s">
        <v>205</v>
      </c>
      <c r="E6" s="26" t="s">
        <v>206</v>
      </c>
      <c r="F6" s="26" t="s">
        <v>207</v>
      </c>
      <c r="G6" s="26" t="s">
        <v>208</v>
      </c>
    </row>
    <row r="7" spans="1:7" ht="31.05" customHeight="1">
      <c r="A7" s="26" t="s">
        <v>209</v>
      </c>
      <c r="B7" s="44">
        <v>231</v>
      </c>
      <c r="C7" s="26" t="s">
        <v>202</v>
      </c>
      <c r="D7" s="26" t="s">
        <v>205</v>
      </c>
      <c r="E7" s="26" t="s">
        <v>206</v>
      </c>
      <c r="F7" s="26" t="s">
        <v>207</v>
      </c>
      <c r="G7" s="26" t="s">
        <v>208</v>
      </c>
    </row>
    <row r="8" spans="1:7" ht="31.05" customHeight="1">
      <c r="A8" s="26" t="s">
        <v>210</v>
      </c>
      <c r="B8" s="45">
        <v>0.55000000000000004</v>
      </c>
      <c r="C8" s="26" t="s">
        <v>211</v>
      </c>
      <c r="D8" s="26" t="s">
        <v>205</v>
      </c>
      <c r="E8" s="26" t="s">
        <v>212</v>
      </c>
      <c r="F8" s="26" t="s">
        <v>207</v>
      </c>
      <c r="G8" s="26" t="s">
        <v>213</v>
      </c>
    </row>
    <row r="9" spans="1:7" ht="31.05" customHeight="1">
      <c r="A9" s="26" t="s">
        <v>214</v>
      </c>
      <c r="B9" s="45">
        <v>0.9</v>
      </c>
      <c r="C9" s="26" t="s">
        <v>211</v>
      </c>
      <c r="D9" s="26" t="s">
        <v>205</v>
      </c>
      <c r="E9" s="26" t="s">
        <v>215</v>
      </c>
      <c r="F9" s="26" t="s">
        <v>207</v>
      </c>
      <c r="G9" s="26" t="s">
        <v>216</v>
      </c>
    </row>
    <row r="10" spans="1:7" ht="31.05" customHeight="1">
      <c r="A10" s="26" t="s">
        <v>217</v>
      </c>
      <c r="B10" s="44">
        <v>5</v>
      </c>
      <c r="C10" s="26" t="s">
        <v>218</v>
      </c>
      <c r="D10" s="26" t="s">
        <v>205</v>
      </c>
      <c r="E10" s="26" t="s">
        <v>219</v>
      </c>
      <c r="F10" s="26" t="s">
        <v>207</v>
      </c>
      <c r="G10" s="26" t="s">
        <v>220</v>
      </c>
    </row>
    <row r="11" spans="1:7" ht="31.05" customHeight="1">
      <c r="A11" s="26" t="s">
        <v>221</v>
      </c>
      <c r="B11" s="41">
        <v>110</v>
      </c>
      <c r="C11" s="26" t="s">
        <v>202</v>
      </c>
      <c r="D11" s="26" t="s">
        <v>222</v>
      </c>
      <c r="E11" s="26" t="s">
        <v>223</v>
      </c>
      <c r="F11" s="26" t="s">
        <v>199</v>
      </c>
      <c r="G11" s="26" t="s">
        <v>200</v>
      </c>
    </row>
    <row r="12" spans="1:7" ht="31.05" customHeight="1">
      <c r="A12" s="26" t="s">
        <v>224</v>
      </c>
      <c r="B12" s="41">
        <v>2363</v>
      </c>
      <c r="C12" s="26" t="s">
        <v>196</v>
      </c>
      <c r="D12" s="26" t="s">
        <v>222</v>
      </c>
      <c r="E12" s="26" t="s">
        <v>225</v>
      </c>
      <c r="F12" s="26" t="s">
        <v>199</v>
      </c>
      <c r="G12" s="26" t="s">
        <v>200</v>
      </c>
    </row>
    <row r="13" spans="1:7" ht="31.05" customHeight="1">
      <c r="A13" s="26" t="s">
        <v>226</v>
      </c>
      <c r="B13" s="41">
        <v>2643</v>
      </c>
      <c r="C13" s="26" t="s">
        <v>196</v>
      </c>
      <c r="D13" s="26" t="s">
        <v>222</v>
      </c>
      <c r="E13" s="26" t="s">
        <v>225</v>
      </c>
      <c r="F13" s="26" t="s">
        <v>199</v>
      </c>
      <c r="G13" s="26" t="s">
        <v>200</v>
      </c>
    </row>
    <row r="14" spans="1:7" ht="31.05" customHeight="1">
      <c r="A14" s="26" t="s">
        <v>227</v>
      </c>
      <c r="B14" s="41">
        <v>191.5</v>
      </c>
      <c r="C14" s="26" t="s">
        <v>202</v>
      </c>
      <c r="D14" s="26" t="s">
        <v>222</v>
      </c>
      <c r="E14" s="26" t="s">
        <v>225</v>
      </c>
      <c r="F14" s="26" t="s">
        <v>199</v>
      </c>
      <c r="G14" s="26" t="s">
        <v>200</v>
      </c>
    </row>
    <row r="15" spans="1:7" ht="31.05" customHeight="1">
      <c r="A15" s="26" t="s">
        <v>228</v>
      </c>
      <c r="B15" s="41">
        <v>221</v>
      </c>
      <c r="C15" s="26" t="s">
        <v>202</v>
      </c>
      <c r="D15" s="26" t="s">
        <v>222</v>
      </c>
      <c r="E15" s="26" t="s">
        <v>225</v>
      </c>
      <c r="F15" s="26" t="s">
        <v>199</v>
      </c>
      <c r="G15" s="26" t="s">
        <v>200</v>
      </c>
    </row>
    <row r="16" spans="1:7" ht="31.05" customHeight="1">
      <c r="A16" s="46" t="s">
        <v>229</v>
      </c>
      <c r="B16" s="47">
        <f>B4-B6-B12-B13</f>
        <v>2694</v>
      </c>
      <c r="C16" s="46" t="s">
        <v>196</v>
      </c>
      <c r="D16" s="46" t="s">
        <v>230</v>
      </c>
      <c r="E16" s="46" t="s">
        <v>231</v>
      </c>
      <c r="F16" s="46" t="s">
        <v>199</v>
      </c>
      <c r="G16" s="46"/>
    </row>
    <row r="17" spans="1:7" ht="31.05" customHeight="1">
      <c r="A17" s="46" t="s">
        <v>232</v>
      </c>
      <c r="B17" s="47">
        <f>B5-B7-B11-B14-B15</f>
        <v>39</v>
      </c>
      <c r="C17" s="46" t="s">
        <v>202</v>
      </c>
      <c r="D17" s="46" t="s">
        <v>230</v>
      </c>
      <c r="E17" s="46" t="s">
        <v>233</v>
      </c>
      <c r="F17" s="46" t="s">
        <v>199</v>
      </c>
      <c r="G17" s="46"/>
    </row>
    <row r="18" spans="1:7" ht="31.05" customHeight="1">
      <c r="A18" s="46" t="s">
        <v>234</v>
      </c>
      <c r="B18" s="47">
        <f>B16*B11/(B11+B17)</f>
        <v>1988.8590604026845</v>
      </c>
      <c r="C18" s="46" t="s">
        <v>196</v>
      </c>
      <c r="D18" s="46" t="s">
        <v>230</v>
      </c>
      <c r="E18" s="46" t="s">
        <v>235</v>
      </c>
      <c r="F18" s="46" t="s">
        <v>199</v>
      </c>
      <c r="G18" s="46"/>
    </row>
    <row r="19" spans="1:7" ht="31.05" customHeight="1">
      <c r="A19" s="46" t="s">
        <v>236</v>
      </c>
      <c r="B19" s="47">
        <f>B16*B17/(B11+B17)</f>
        <v>705.14093959731542</v>
      </c>
      <c r="C19" s="46" t="s">
        <v>196</v>
      </c>
      <c r="D19" s="46" t="s">
        <v>230</v>
      </c>
      <c r="E19" s="46" t="s">
        <v>235</v>
      </c>
      <c r="F19" s="46" t="s">
        <v>199</v>
      </c>
      <c r="G19" s="46"/>
    </row>
    <row r="20" spans="1:7" ht="31.05" customHeight="1">
      <c r="A20" s="46" t="s">
        <v>237</v>
      </c>
      <c r="B20" s="47">
        <f>原始年度数据!B13*B8</f>
        <v>1540.0000000000002</v>
      </c>
      <c r="C20" s="46" t="s">
        <v>196</v>
      </c>
      <c r="D20" s="46" t="s">
        <v>230</v>
      </c>
      <c r="E20" s="46" t="s">
        <v>238</v>
      </c>
      <c r="F20" s="46" t="s">
        <v>199</v>
      </c>
      <c r="G20" s="46"/>
    </row>
    <row r="21" spans="1:7" ht="31.05" customHeight="1">
      <c r="A21" s="46" t="s">
        <v>239</v>
      </c>
      <c r="B21" s="47">
        <f>原始年度数据!F13/原始年度数据!B13*B20*B9</f>
        <v>81.675000000000011</v>
      </c>
      <c r="C21" s="46" t="s">
        <v>202</v>
      </c>
      <c r="D21" s="46" t="s">
        <v>230</v>
      </c>
      <c r="E21" s="46" t="s">
        <v>240</v>
      </c>
      <c r="F21" s="46" t="s">
        <v>199</v>
      </c>
      <c r="G21" s="46"/>
    </row>
    <row r="22" spans="1:7" ht="31.05" customHeight="1">
      <c r="A22" s="46" t="s">
        <v>241</v>
      </c>
      <c r="B22" s="47">
        <f>原始年度数据!D10*B10</f>
        <v>109.58600000000001</v>
      </c>
      <c r="C22" s="46" t="s">
        <v>202</v>
      </c>
      <c r="D22" s="46" t="s">
        <v>230</v>
      </c>
      <c r="E22" s="46" t="s">
        <v>242</v>
      </c>
      <c r="F22" s="46" t="s">
        <v>199</v>
      </c>
      <c r="G22" s="46"/>
    </row>
    <row r="23" spans="1:7" ht="31.05" customHeight="1">
      <c r="A23" s="48" t="s">
        <v>243</v>
      </c>
      <c r="B23" s="49">
        <f>AVERAGE(原始年度数据!H10,原始年度数据!H12)</f>
        <v>405</v>
      </c>
      <c r="C23" s="48" t="s">
        <v>202</v>
      </c>
      <c r="D23" s="48" t="s">
        <v>230</v>
      </c>
      <c r="E23" s="48" t="s">
        <v>244</v>
      </c>
      <c r="F23" s="48" t="s">
        <v>199</v>
      </c>
      <c r="G23" s="48"/>
    </row>
  </sheetData>
  <mergeCells count="2">
    <mergeCell ref="A1:G1"/>
    <mergeCell ref="A2:G2"/>
  </mergeCells>
  <phoneticPr fontId="1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9"/>
  <sheetViews>
    <sheetView showGridLines="0" topLeftCell="A9" workbookViewId="0">
      <selection activeCell="Y4" sqref="Y4"/>
    </sheetView>
  </sheetViews>
  <sheetFormatPr defaultRowHeight="13.8"/>
  <cols>
    <col min="1" max="1" width="9" customWidth="1"/>
    <col min="2" max="4" width="14" customWidth="1"/>
    <col min="5" max="5" width="12" customWidth="1"/>
    <col min="6" max="6" width="15" customWidth="1"/>
    <col min="7" max="7" width="19" customWidth="1"/>
    <col min="8" max="10" width="24" customWidth="1"/>
    <col min="11" max="11" width="14" customWidth="1"/>
    <col min="12" max="12" width="28" customWidth="1"/>
    <col min="13" max="13" width="16" customWidth="1"/>
    <col min="14" max="14" width="30" customWidth="1"/>
    <col min="15" max="15" width="13" customWidth="1"/>
    <col min="16" max="16" width="22" customWidth="1"/>
    <col min="17" max="17" width="16" customWidth="1"/>
    <col min="18" max="18" width="27" customWidth="1"/>
    <col min="19" max="20" width="12" customWidth="1"/>
    <col min="21" max="22" width="18" customWidth="1"/>
    <col min="23" max="23" width="12" customWidth="1"/>
    <col min="24" max="24" width="14" customWidth="1"/>
    <col min="25" max="27" width="10" customWidth="1"/>
    <col min="28" max="28" width="12" customWidth="1"/>
    <col min="29" max="30" width="11" customWidth="1"/>
  </cols>
  <sheetData>
    <row r="1" spans="1:30" ht="34.049999999999997" customHeight="1">
      <c r="A1" s="67" t="s">
        <v>245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</row>
    <row r="2" spans="1:30" ht="37.950000000000003" customHeight="1">
      <c r="A2" s="82" t="s">
        <v>246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</row>
    <row r="3" spans="1:30" ht="31.05" customHeight="1">
      <c r="A3" s="22" t="s">
        <v>129</v>
      </c>
      <c r="B3" s="23" t="s">
        <v>247</v>
      </c>
      <c r="C3" s="23" t="s">
        <v>248</v>
      </c>
      <c r="D3" s="23" t="s">
        <v>249</v>
      </c>
      <c r="E3" s="23" t="s">
        <v>250</v>
      </c>
      <c r="F3" s="23" t="s">
        <v>251</v>
      </c>
      <c r="G3" s="23" t="s">
        <v>131</v>
      </c>
      <c r="H3" s="23" t="s">
        <v>135</v>
      </c>
      <c r="I3" s="23" t="s">
        <v>137</v>
      </c>
      <c r="J3" s="23" t="s">
        <v>139</v>
      </c>
      <c r="K3" s="23" t="s">
        <v>252</v>
      </c>
      <c r="L3" s="23" t="s">
        <v>253</v>
      </c>
      <c r="M3" s="23" t="s">
        <v>254</v>
      </c>
      <c r="N3" s="23" t="s">
        <v>255</v>
      </c>
      <c r="O3" s="23" t="s">
        <v>256</v>
      </c>
      <c r="P3" s="23" t="s">
        <v>257</v>
      </c>
      <c r="Q3" s="23" t="s">
        <v>258</v>
      </c>
      <c r="R3" s="23" t="s">
        <v>259</v>
      </c>
      <c r="S3" s="23" t="s">
        <v>260</v>
      </c>
      <c r="T3" s="23" t="s">
        <v>261</v>
      </c>
      <c r="U3" s="23" t="s">
        <v>262</v>
      </c>
      <c r="V3" s="23" t="s">
        <v>263</v>
      </c>
      <c r="W3" s="23" t="s">
        <v>264</v>
      </c>
      <c r="X3" s="23" t="s">
        <v>265</v>
      </c>
      <c r="Y3" s="23" t="s">
        <v>266</v>
      </c>
      <c r="Z3" s="23" t="s">
        <v>267</v>
      </c>
      <c r="AA3" s="23" t="s">
        <v>268</v>
      </c>
      <c r="AB3" s="23" t="s">
        <v>269</v>
      </c>
      <c r="AC3" s="23" t="s">
        <v>270</v>
      </c>
      <c r="AD3" s="24" t="s">
        <v>271</v>
      </c>
    </row>
    <row r="4" spans="1:30" ht="31.05" customHeight="1">
      <c r="A4" s="28">
        <f>原始年度数据!A4</f>
        <v>2010</v>
      </c>
      <c r="B4" s="40">
        <f>IF(原始年度数据!B4="","",原始年度数据!B4)</f>
        <v>848</v>
      </c>
      <c r="C4" s="40">
        <f>IF(原始年度数据!D4="","",原始年度数据!D4)</f>
        <v>7.104247</v>
      </c>
      <c r="D4" s="40">
        <f>IF(原始年度数据!F4="","",原始年度数据!F4)</f>
        <v>35.521236000000002</v>
      </c>
      <c r="E4" s="40">
        <f>IF(原始年度数据!H4="","",原始年度数据!H4)</f>
        <v>215.47</v>
      </c>
      <c r="F4" s="40">
        <f>IF(原始年度数据!J4="","",原始年度数据!J4)</f>
        <v>136.22999999999999</v>
      </c>
      <c r="G4" s="25" t="str">
        <f>IF(原始年度数据!C4="","",原始年度数据!C4)</f>
        <v>observed_rounded</v>
      </c>
      <c r="H4" s="25" t="str">
        <f>IF(原始年度数据!G4="","",原始年度数据!G4)</f>
        <v>inferred_from_yoy</v>
      </c>
      <c r="I4" s="25" t="str">
        <f>IF(原始年度数据!I4="","",原始年度数据!I4)</f>
        <v>official_yearbook</v>
      </c>
      <c r="J4" s="25" t="str">
        <f>IF(原始年度数据!K4="","",原始年度数据!K4)</f>
        <v>official_yearbook</v>
      </c>
      <c r="K4" s="40">
        <f t="shared" ref="K4:K13" si="0">B4</f>
        <v>848</v>
      </c>
      <c r="L4" s="25" t="s">
        <v>272</v>
      </c>
      <c r="M4" s="40">
        <f t="shared" ref="M4:M9" si="1">D4</f>
        <v>35.521236000000002</v>
      </c>
      <c r="N4" s="25" t="s">
        <v>272</v>
      </c>
      <c r="O4" s="40">
        <f t="shared" ref="O4:O10" si="2">E4</f>
        <v>215.47</v>
      </c>
      <c r="P4" s="25" t="s">
        <v>272</v>
      </c>
      <c r="Q4" s="40">
        <f>F4</f>
        <v>136.22999999999999</v>
      </c>
      <c r="R4" s="25" t="s">
        <v>272</v>
      </c>
      <c r="S4" s="50"/>
      <c r="T4" s="50"/>
      <c r="U4" s="25"/>
      <c r="V4" s="25"/>
      <c r="W4" s="25">
        <f t="shared" ref="W4:W19" si="3">IF(AND(A4&gt;=2020,A4&lt;=2022),1,0)</f>
        <v>0</v>
      </c>
      <c r="X4" s="25">
        <f t="shared" ref="X4:X19" si="4">IF(A4&gt;=2019,1,0)</f>
        <v>0</v>
      </c>
      <c r="Y4" s="52" t="e">
        <f t="shared" ref="Y4:Y19" ca="1" si="5">(K4-AVERAGE($K$4:$K$19))/_xludf.STDEV.S($K$4:$K$19)</f>
        <v>#NAME?</v>
      </c>
      <c r="Z4" s="52" t="e">
        <f t="shared" ref="Z4:Z19" ca="1" si="6">(M4-AVERAGE($M$4:$M$19))/_xludf.STDEV.S($M$4:$M$19)</f>
        <v>#NAME?</v>
      </c>
      <c r="AA4" s="52" t="e">
        <f t="shared" ref="AA4:AA19" ca="1" si="7">(O4-AVERAGE($O$4:$O$19))/_xludf.STDEV.S($O$4:$O$19)</f>
        <v>#NAME?</v>
      </c>
      <c r="AB4" s="52" t="e">
        <f t="shared" ref="AB4:AB19" ca="1" si="8">(Q4-AVERAGE($Q$4:$Q$19))/_xludf.STDEV.S($Q$4:$Q$19)</f>
        <v>#NAME?</v>
      </c>
      <c r="AC4" s="52">
        <f t="shared" ref="AC4:AC19" si="9">LN(K4)</f>
        <v>6.7428806357919031</v>
      </c>
      <c r="AD4" s="52">
        <f t="shared" ref="AD4:AD19" si="10">LN(M4)</f>
        <v>3.5701307148158548</v>
      </c>
    </row>
    <row r="5" spans="1:30" ht="31.05" customHeight="1">
      <c r="A5" s="29">
        <f>原始年度数据!A5</f>
        <v>2011</v>
      </c>
      <c r="B5" s="41">
        <f>IF(原始年度数据!B5="","",原始年度数据!B5)</f>
        <v>1098.5999999999999</v>
      </c>
      <c r="C5" s="41">
        <f>IF(原始年度数据!D5="","",原始年度数据!D5)</f>
        <v>9.1999999999999993</v>
      </c>
      <c r="D5" s="41">
        <f>IF(原始年度数据!F5="","",原始年度数据!F5)</f>
        <v>46</v>
      </c>
      <c r="E5" s="41">
        <f>IF(原始年度数据!H5="","",原始年度数据!H5)</f>
        <v>250.11</v>
      </c>
      <c r="F5" s="41">
        <f>IF(原始年度数据!J5="","",原始年度数据!J5)</f>
        <v>147.02000000000001</v>
      </c>
      <c r="G5" s="26" t="str">
        <f>IF(原始年度数据!C5="","",原始年度数据!C5)</f>
        <v>observed</v>
      </c>
      <c r="H5" s="26" t="str">
        <f>IF(原始年度数据!G5="","",原始年度数据!G5)</f>
        <v>observed</v>
      </c>
      <c r="I5" s="26" t="str">
        <f>IF(原始年度数据!I5="","",原始年度数据!I5)</f>
        <v>official_yearbook</v>
      </c>
      <c r="J5" s="26" t="str">
        <f>IF(原始年度数据!K5="","",原始年度数据!K5)</f>
        <v>official_yearbook</v>
      </c>
      <c r="K5" s="41">
        <f t="shared" si="0"/>
        <v>1098.5999999999999</v>
      </c>
      <c r="L5" s="26" t="s">
        <v>272</v>
      </c>
      <c r="M5" s="41">
        <f t="shared" si="1"/>
        <v>46</v>
      </c>
      <c r="N5" s="26" t="s">
        <v>272</v>
      </c>
      <c r="O5" s="41">
        <f t="shared" si="2"/>
        <v>250.11</v>
      </c>
      <c r="P5" s="26" t="s">
        <v>272</v>
      </c>
      <c r="Q5" s="41">
        <f>F5</f>
        <v>147.02000000000001</v>
      </c>
      <c r="R5" s="26" t="s">
        <v>272</v>
      </c>
      <c r="S5" s="43">
        <f t="shared" ref="S5:S19" si="11">K5/K4-1</f>
        <v>0.29551886792452819</v>
      </c>
      <c r="T5" s="43">
        <f t="shared" ref="T5:T19" si="12">M5/M4-1</f>
        <v>0.29499998254565241</v>
      </c>
      <c r="U5" s="26" t="str">
        <f>IF(OR(S5&lt;异常检测!$B$7,S5&gt;异常检测!$B$8),"保留-结构冲击","正常")</f>
        <v>正常</v>
      </c>
      <c r="V5" s="26" t="str">
        <f>IF(OR(T5&lt;异常检测!$E$7,T5&gt;异常检测!$E$8),"保留-结构冲击","正常")</f>
        <v>正常</v>
      </c>
      <c r="W5" s="26">
        <f t="shared" si="3"/>
        <v>0</v>
      </c>
      <c r="X5" s="26">
        <f t="shared" si="4"/>
        <v>0</v>
      </c>
      <c r="Y5" s="53" t="e">
        <f t="shared" ca="1" si="5"/>
        <v>#NAME?</v>
      </c>
      <c r="Z5" s="53" t="e">
        <f t="shared" ca="1" si="6"/>
        <v>#NAME?</v>
      </c>
      <c r="AA5" s="53" t="e">
        <f t="shared" ca="1" si="7"/>
        <v>#NAME?</v>
      </c>
      <c r="AB5" s="53" t="e">
        <f t="shared" ca="1" si="8"/>
        <v>#NAME?</v>
      </c>
      <c r="AC5" s="53">
        <f t="shared" si="9"/>
        <v>7.00179192090852</v>
      </c>
      <c r="AD5" s="53">
        <f t="shared" si="10"/>
        <v>3.8286413964890951</v>
      </c>
    </row>
    <row r="6" spans="1:30" ht="31.05" customHeight="1">
      <c r="A6" s="29">
        <f>原始年度数据!A6</f>
        <v>2012</v>
      </c>
      <c r="B6" s="41">
        <f>IF(原始年度数据!B6="","",原始年度数据!B6)</f>
        <v>1152</v>
      </c>
      <c r="C6" s="41" t="str">
        <f>IF(原始年度数据!D6="","",原始年度数据!D6)</f>
        <v/>
      </c>
      <c r="D6" s="41">
        <f>IF(原始年度数据!F6="","",原始年度数据!F6)</f>
        <v>52</v>
      </c>
      <c r="E6" s="41">
        <f>IF(原始年度数据!H6="","",原始年度数据!H6)</f>
        <v>333.3</v>
      </c>
      <c r="F6" s="41" t="str">
        <f>IF(原始年度数据!J6="","",原始年度数据!J6)</f>
        <v/>
      </c>
      <c r="G6" s="26" t="str">
        <f>IF(原始年度数据!C6="","",原始年度数据!C6)</f>
        <v>observed_rounded</v>
      </c>
      <c r="H6" s="26" t="str">
        <f>IF(原始年度数据!G6="","",原始年度数据!G6)</f>
        <v>observed_rounded</v>
      </c>
      <c r="I6" s="26" t="str">
        <f>IF(原始年度数据!I6="","",原始年度数据!I6)</f>
        <v>provisional_estimate</v>
      </c>
      <c r="J6" s="26" t="str">
        <f>IF(原始年度数据!K6="","",原始年度数据!K6)</f>
        <v/>
      </c>
      <c r="K6" s="41">
        <f t="shared" si="0"/>
        <v>1152</v>
      </c>
      <c r="L6" s="26" t="s">
        <v>272</v>
      </c>
      <c r="M6" s="41">
        <f t="shared" si="1"/>
        <v>52</v>
      </c>
      <c r="N6" s="26" t="s">
        <v>272</v>
      </c>
      <c r="O6" s="41">
        <f t="shared" si="2"/>
        <v>333.3</v>
      </c>
      <c r="P6" s="26" t="s">
        <v>272</v>
      </c>
      <c r="Q6" s="41">
        <f>O6*((Q5/O5)+((A6-A5)/(A7-A5))*((Q7/O7)-(Q5/O5)))</f>
        <v>196.61722941105916</v>
      </c>
      <c r="R6" s="26" t="s">
        <v>273</v>
      </c>
      <c r="S6" s="43">
        <f t="shared" si="11"/>
        <v>4.8607318405243127E-2</v>
      </c>
      <c r="T6" s="43">
        <f t="shared" si="12"/>
        <v>0.13043478260869557</v>
      </c>
      <c r="U6" s="26" t="str">
        <f>IF(OR(S6&lt;异常检测!$B$7,S6&gt;异常检测!$B$8),"保留-结构冲击","正常")</f>
        <v>正常</v>
      </c>
      <c r="V6" s="26" t="str">
        <f>IF(OR(T6&lt;异常检测!$E$7,T6&gt;异常检测!$E$8),"保留-结构冲击","正常")</f>
        <v>正常</v>
      </c>
      <c r="W6" s="26">
        <f t="shared" si="3"/>
        <v>0</v>
      </c>
      <c r="X6" s="26">
        <f t="shared" si="4"/>
        <v>0</v>
      </c>
      <c r="Y6" s="53" t="e">
        <f t="shared" ca="1" si="5"/>
        <v>#NAME?</v>
      </c>
      <c r="Z6" s="53" t="e">
        <f t="shared" ca="1" si="6"/>
        <v>#NAME?</v>
      </c>
      <c r="AA6" s="53" t="e">
        <f t="shared" ca="1" si="7"/>
        <v>#NAME?</v>
      </c>
      <c r="AB6" s="53" t="e">
        <f t="shared" ca="1" si="8"/>
        <v>#NAME?</v>
      </c>
      <c r="AC6" s="53">
        <f t="shared" si="9"/>
        <v>7.0492548412558369</v>
      </c>
      <c r="AD6" s="53">
        <f t="shared" si="10"/>
        <v>3.9512437185814275</v>
      </c>
    </row>
    <row r="7" spans="1:30" ht="31.05" customHeight="1">
      <c r="A7" s="29">
        <f>原始年度数据!A7</f>
        <v>2013</v>
      </c>
      <c r="B7" s="41">
        <f>IF(原始年度数据!B7="","",原始年度数据!B7)</f>
        <v>1295</v>
      </c>
      <c r="C7" s="41">
        <f>IF(原始年度数据!D7="","",原始年度数据!D7)</f>
        <v>12.63</v>
      </c>
      <c r="D7" s="41">
        <f>IF(原始年度数据!F7="","",原始年度数据!F7)</f>
        <v>63.2</v>
      </c>
      <c r="E7" s="41">
        <f>IF(原始年度数据!H7="","",原始年度数据!H7)</f>
        <v>316.8</v>
      </c>
      <c r="F7" s="41">
        <f>IF(原始年度数据!J7="","",原始年度数据!J7)</f>
        <v>187.54560000000001</v>
      </c>
      <c r="G7" s="26" t="str">
        <f>IF(原始年度数据!C7="","",原始年度数据!C7)</f>
        <v>observed_cached</v>
      </c>
      <c r="H7" s="26" t="str">
        <f>IF(原始年度数据!G7="","",原始年度数据!G7)</f>
        <v>observed_cached</v>
      </c>
      <c r="I7" s="26" t="str">
        <f>IF(原始年度数据!I7="","",原始年度数据!I7)</f>
        <v>inferred_from_official_bulletin</v>
      </c>
      <c r="J7" s="26" t="str">
        <f>IF(原始年度数据!K7="","",原始年度数据!K7)</f>
        <v>inferred_from_official_bulletin</v>
      </c>
      <c r="K7" s="41">
        <f t="shared" si="0"/>
        <v>1295</v>
      </c>
      <c r="L7" s="26" t="s">
        <v>272</v>
      </c>
      <c r="M7" s="41">
        <f t="shared" si="1"/>
        <v>63.2</v>
      </c>
      <c r="N7" s="26" t="s">
        <v>272</v>
      </c>
      <c r="O7" s="41">
        <f t="shared" si="2"/>
        <v>316.8</v>
      </c>
      <c r="P7" s="26" t="s">
        <v>272</v>
      </c>
      <c r="Q7" s="41">
        <f>F7</f>
        <v>187.54560000000001</v>
      </c>
      <c r="R7" s="26" t="s">
        <v>272</v>
      </c>
      <c r="S7" s="43">
        <f t="shared" si="11"/>
        <v>0.12413194444444442</v>
      </c>
      <c r="T7" s="43">
        <f t="shared" si="12"/>
        <v>0.21538461538461551</v>
      </c>
      <c r="U7" s="26" t="str">
        <f>IF(OR(S7&lt;异常检测!$B$7,S7&gt;异常检测!$B$8),"保留-结构冲击","正常")</f>
        <v>正常</v>
      </c>
      <c r="V7" s="26" t="str">
        <f>IF(OR(T7&lt;异常检测!$E$7,T7&gt;异常检测!$E$8),"保留-结构冲击","正常")</f>
        <v>正常</v>
      </c>
      <c r="W7" s="26">
        <f t="shared" si="3"/>
        <v>0</v>
      </c>
      <c r="X7" s="26">
        <f t="shared" si="4"/>
        <v>0</v>
      </c>
      <c r="Y7" s="53" t="e">
        <f t="shared" ca="1" si="5"/>
        <v>#NAME?</v>
      </c>
      <c r="Z7" s="53" t="e">
        <f t="shared" ca="1" si="6"/>
        <v>#NAME?</v>
      </c>
      <c r="AA7" s="53" t="e">
        <f t="shared" ca="1" si="7"/>
        <v>#NAME?</v>
      </c>
      <c r="AB7" s="53" t="e">
        <f t="shared" ca="1" si="8"/>
        <v>#NAME?</v>
      </c>
      <c r="AC7" s="53">
        <f t="shared" si="9"/>
        <v>7.1662659741336379</v>
      </c>
      <c r="AD7" s="53">
        <f t="shared" si="10"/>
        <v>4.1463043011528118</v>
      </c>
    </row>
    <row r="8" spans="1:30" ht="31.05" customHeight="1">
      <c r="A8" s="29">
        <f>原始年度数据!A8</f>
        <v>2014</v>
      </c>
      <c r="B8" s="41">
        <f>IF(原始年度数据!B8="","",原始年度数据!B8)</f>
        <v>1553.4</v>
      </c>
      <c r="C8" s="41">
        <f>IF(原始年度数据!D8="","",原始年度数据!D8)</f>
        <v>15.800700000000001</v>
      </c>
      <c r="D8" s="41">
        <f>IF(原始年度数据!F8="","",原始年度数据!F8)</f>
        <v>79</v>
      </c>
      <c r="E8" s="41">
        <f>IF(原始年度数据!H8="","",原始年度数据!H8)</f>
        <v>361.1</v>
      </c>
      <c r="F8" s="41">
        <f>IF(原始年度数据!J8="","",原始年度数据!J8)</f>
        <v>212.91</v>
      </c>
      <c r="G8" s="26" t="str">
        <f>IF(原始年度数据!C8="","",原始年度数据!C8)</f>
        <v>observed_revised</v>
      </c>
      <c r="H8" s="26" t="str">
        <f>IF(原始年度数据!G8="","",原始年度数据!G8)</f>
        <v>observed</v>
      </c>
      <c r="I8" s="26" t="str">
        <f>IF(原始年度数据!I8="","",原始年度数据!I8)</f>
        <v>official_initial</v>
      </c>
      <c r="J8" s="26" t="str">
        <f>IF(原始年度数据!K8="","",原始年度数据!K8)</f>
        <v>official_initial</v>
      </c>
      <c r="K8" s="41">
        <f t="shared" si="0"/>
        <v>1553.4</v>
      </c>
      <c r="L8" s="26" t="s">
        <v>272</v>
      </c>
      <c r="M8" s="41">
        <f t="shared" si="1"/>
        <v>79</v>
      </c>
      <c r="N8" s="26" t="s">
        <v>272</v>
      </c>
      <c r="O8" s="41">
        <f t="shared" si="2"/>
        <v>361.1</v>
      </c>
      <c r="P8" s="26" t="s">
        <v>272</v>
      </c>
      <c r="Q8" s="41">
        <f>F8</f>
        <v>212.91</v>
      </c>
      <c r="R8" s="26" t="s">
        <v>272</v>
      </c>
      <c r="S8" s="43">
        <f t="shared" si="11"/>
        <v>0.19953667953667953</v>
      </c>
      <c r="T8" s="43">
        <f t="shared" si="12"/>
        <v>0.25</v>
      </c>
      <c r="U8" s="26" t="str">
        <f>IF(OR(S8&lt;异常检测!$B$7,S8&gt;异常检测!$B$8),"保留-结构冲击","正常")</f>
        <v>正常</v>
      </c>
      <c r="V8" s="26" t="str">
        <f>IF(OR(T8&lt;异常检测!$E$7,T8&gt;异常检测!$E$8),"保留-结构冲击","正常")</f>
        <v>正常</v>
      </c>
      <c r="W8" s="26">
        <f t="shared" si="3"/>
        <v>0</v>
      </c>
      <c r="X8" s="26">
        <f t="shared" si="4"/>
        <v>0</v>
      </c>
      <c r="Y8" s="53" t="e">
        <f t="shared" ca="1" si="5"/>
        <v>#NAME?</v>
      </c>
      <c r="Z8" s="53" t="e">
        <f t="shared" ca="1" si="6"/>
        <v>#NAME?</v>
      </c>
      <c r="AA8" s="53" t="e">
        <f t="shared" ca="1" si="7"/>
        <v>#NAME?</v>
      </c>
      <c r="AB8" s="53" t="e">
        <f t="shared" ca="1" si="8"/>
        <v>#NAME?</v>
      </c>
      <c r="AC8" s="53">
        <f t="shared" si="9"/>
        <v>7.3482013559855472</v>
      </c>
      <c r="AD8" s="53">
        <f t="shared" si="10"/>
        <v>4.3694478524670215</v>
      </c>
    </row>
    <row r="9" spans="1:30" ht="31.05" customHeight="1">
      <c r="A9" s="29">
        <f>原始年度数据!A9</f>
        <v>2015</v>
      </c>
      <c r="B9" s="41">
        <f>IF(原始年度数据!B9="","",原始年度数据!B9)</f>
        <v>1818.72</v>
      </c>
      <c r="C9" s="41">
        <f>IF(原始年度数据!D9="","",原始年度数据!D9)</f>
        <v>18.792200000000001</v>
      </c>
      <c r="D9" s="41">
        <f>IF(原始年度数据!F9="","",原始年度数据!F9)</f>
        <v>94</v>
      </c>
      <c r="E9" s="41">
        <f>IF(原始年度数据!H9="","",原始年度数据!H9)</f>
        <v>409</v>
      </c>
      <c r="F9" s="41" t="str">
        <f>IF(原始年度数据!J9="","",原始年度数据!J9)</f>
        <v/>
      </c>
      <c r="G9" s="26" t="str">
        <f>IF(原始年度数据!C9="","",原始年度数据!C9)</f>
        <v>observed_revised</v>
      </c>
      <c r="H9" s="26" t="str">
        <f>IF(原始年度数据!G9="","",原始年度数据!G9)</f>
        <v>observed_supporting_attachment</v>
      </c>
      <c r="I9" s="26" t="str">
        <f>IF(原始年度数据!I9="","",原始年度数据!I9)</f>
        <v>provisional_estimate</v>
      </c>
      <c r="J9" s="26" t="str">
        <f>IF(原始年度数据!K9="","",原始年度数据!K9)</f>
        <v/>
      </c>
      <c r="K9" s="41">
        <f t="shared" si="0"/>
        <v>1818.72</v>
      </c>
      <c r="L9" s="26" t="s">
        <v>272</v>
      </c>
      <c r="M9" s="41">
        <f t="shared" si="1"/>
        <v>94</v>
      </c>
      <c r="N9" s="26" t="s">
        <v>272</v>
      </c>
      <c r="O9" s="41">
        <f t="shared" si="2"/>
        <v>409</v>
      </c>
      <c r="P9" s="26" t="s">
        <v>272</v>
      </c>
      <c r="Q9" s="41">
        <f>O9*((Q8/O8)+((A9-A8)/(A13-A8))*((Q13/O13)-(Q8/O8)))</f>
        <v>243.33692595416596</v>
      </c>
      <c r="R9" s="26" t="s">
        <v>274</v>
      </c>
      <c r="S9" s="43">
        <f t="shared" si="11"/>
        <v>0.17079953650057922</v>
      </c>
      <c r="T9" s="43">
        <f t="shared" si="12"/>
        <v>0.18987341772151889</v>
      </c>
      <c r="U9" s="26" t="str">
        <f>IF(OR(S9&lt;异常检测!$B$7,S9&gt;异常检测!$B$8),"保留-结构冲击","正常")</f>
        <v>正常</v>
      </c>
      <c r="V9" s="26" t="str">
        <f>IF(OR(T9&lt;异常检测!$E$7,T9&gt;异常检测!$E$8),"保留-结构冲击","正常")</f>
        <v>正常</v>
      </c>
      <c r="W9" s="26">
        <f t="shared" si="3"/>
        <v>0</v>
      </c>
      <c r="X9" s="26">
        <f t="shared" si="4"/>
        <v>0</v>
      </c>
      <c r="Y9" s="53" t="e">
        <f t="shared" ca="1" si="5"/>
        <v>#NAME?</v>
      </c>
      <c r="Z9" s="53" t="e">
        <f t="shared" ca="1" si="6"/>
        <v>#NAME?</v>
      </c>
      <c r="AA9" s="53" t="e">
        <f t="shared" ca="1" si="7"/>
        <v>#NAME?</v>
      </c>
      <c r="AB9" s="53" t="e">
        <f t="shared" ca="1" si="8"/>
        <v>#NAME?</v>
      </c>
      <c r="AC9" s="53">
        <f t="shared" si="9"/>
        <v>7.5058882359384</v>
      </c>
      <c r="AD9" s="53">
        <f t="shared" si="10"/>
        <v>4.5432947822700038</v>
      </c>
    </row>
    <row r="10" spans="1:30" ht="31.05" customHeight="1">
      <c r="A10" s="29">
        <f>原始年度数据!A10</f>
        <v>2016</v>
      </c>
      <c r="B10" s="41">
        <f>IF(原始年度数据!B10="","",原始年度数据!B10)</f>
        <v>2086</v>
      </c>
      <c r="C10" s="41">
        <f>IF(原始年度数据!D10="","",原始年度数据!D10)</f>
        <v>21.917200000000001</v>
      </c>
      <c r="D10" s="41" t="str">
        <f>IF(原始年度数据!F10="","",原始年度数据!F10)</f>
        <v/>
      </c>
      <c r="E10" s="41">
        <f>IF(原始年度数据!H10="","",原始年度数据!H10)</f>
        <v>430</v>
      </c>
      <c r="F10" s="41" t="str">
        <f>IF(原始年度数据!J10="","",原始年度数据!J10)</f>
        <v/>
      </c>
      <c r="G10" s="26" t="str">
        <f>IF(原始年度数据!C10="","",原始年度数据!C10)</f>
        <v>observed_revised</v>
      </c>
      <c r="H10" s="26" t="str">
        <f>IF(原始年度数据!G10="","",原始年度数据!G10)</f>
        <v/>
      </c>
      <c r="I10" s="26" t="str">
        <f>IF(原始年度数据!I10="","",原始年度数据!I10)</f>
        <v>provisional_estimate</v>
      </c>
      <c r="J10" s="26" t="str">
        <f>IF(原始年度数据!K10="","",原始年度数据!K10)</f>
        <v/>
      </c>
      <c r="K10" s="41">
        <f t="shared" si="0"/>
        <v>2086</v>
      </c>
      <c r="L10" s="26" t="s">
        <v>272</v>
      </c>
      <c r="M10" s="41">
        <f>补充假设!$B$22</f>
        <v>109.58600000000001</v>
      </c>
      <c r="N10" s="26" t="s">
        <v>275</v>
      </c>
      <c r="O10" s="41">
        <f t="shared" si="2"/>
        <v>430</v>
      </c>
      <c r="P10" s="26" t="s">
        <v>272</v>
      </c>
      <c r="Q10" s="41">
        <f>O10*((Q8/O8)+((A10-A8)/(A13-A8))*((Q13/O13)-(Q8/O8)))</f>
        <v>258.12751790990734</v>
      </c>
      <c r="R10" s="26" t="s">
        <v>274</v>
      </c>
      <c r="S10" s="43">
        <f t="shared" si="11"/>
        <v>0.14696049969209102</v>
      </c>
      <c r="T10" s="43">
        <f t="shared" si="12"/>
        <v>0.16580851063829805</v>
      </c>
      <c r="U10" s="26" t="str">
        <f>IF(OR(S10&lt;异常检测!$B$7,S10&gt;异常检测!$B$8),"保留-结构冲击","正常")</f>
        <v>正常</v>
      </c>
      <c r="V10" s="26" t="str">
        <f>IF(OR(T10&lt;异常检测!$E$7,T10&gt;异常检测!$E$8),"保留-结构冲击","正常")</f>
        <v>正常</v>
      </c>
      <c r="W10" s="26">
        <f t="shared" si="3"/>
        <v>0</v>
      </c>
      <c r="X10" s="26">
        <f t="shared" si="4"/>
        <v>0</v>
      </c>
      <c r="Y10" s="53" t="e">
        <f t="shared" ca="1" si="5"/>
        <v>#NAME?</v>
      </c>
      <c r="Z10" s="53" t="e">
        <f t="shared" ca="1" si="6"/>
        <v>#NAME?</v>
      </c>
      <c r="AA10" s="53" t="e">
        <f t="shared" ca="1" si="7"/>
        <v>#NAME?</v>
      </c>
      <c r="AB10" s="53" t="e">
        <f t="shared" ca="1" si="8"/>
        <v>#NAME?</v>
      </c>
      <c r="AC10" s="53">
        <f t="shared" si="9"/>
        <v>7.643003635560718</v>
      </c>
      <c r="AD10" s="53">
        <f t="shared" si="10"/>
        <v>4.6967096291285433</v>
      </c>
    </row>
    <row r="11" spans="1:30" ht="31.05" customHeight="1">
      <c r="A11" s="29">
        <f>原始年度数据!A11</f>
        <v>2017</v>
      </c>
      <c r="B11" s="41">
        <f>IF(原始年度数据!B11="","",原始年度数据!B11)</f>
        <v>2392</v>
      </c>
      <c r="C11" s="41">
        <f>IF(原始年度数据!D11="","",原始年度数据!D11)</f>
        <v>26.134699999999999</v>
      </c>
      <c r="D11" s="41">
        <f>IF(原始年度数据!F11="","",原始年度数据!F11)</f>
        <v>130</v>
      </c>
      <c r="E11" s="41" t="str">
        <f>IF(原始年度数据!H11="","",原始年度数据!H11)</f>
        <v/>
      </c>
      <c r="F11" s="41" t="str">
        <f>IF(原始年度数据!J11="","",原始年度数据!J11)</f>
        <v/>
      </c>
      <c r="G11" s="26" t="str">
        <f>IF(原始年度数据!C11="","",原始年度数据!C11)</f>
        <v>observed</v>
      </c>
      <c r="H11" s="26" t="str">
        <f>IF(原始年度数据!G11="","",原始年度数据!G11)</f>
        <v>observed_rounded</v>
      </c>
      <c r="I11" s="26" t="str">
        <f>IF(原始年度数据!I11="","",原始年度数据!I11)</f>
        <v/>
      </c>
      <c r="J11" s="26" t="str">
        <f>IF(原始年度数据!K11="","",原始年度数据!K11)</f>
        <v/>
      </c>
      <c r="K11" s="41">
        <f t="shared" si="0"/>
        <v>2392</v>
      </c>
      <c r="L11" s="26" t="s">
        <v>272</v>
      </c>
      <c r="M11" s="41">
        <f>D11</f>
        <v>130</v>
      </c>
      <c r="N11" s="26" t="s">
        <v>272</v>
      </c>
      <c r="O11" s="41">
        <f>补充假设!$B$23</f>
        <v>405</v>
      </c>
      <c r="P11" s="26" t="s">
        <v>276</v>
      </c>
      <c r="Q11" s="41">
        <f>O11*((Q8/O8)+((A11-A8)/(A13-A8))*((Q13/O13)-(Q8/O8)))</f>
        <v>245.28310543842156</v>
      </c>
      <c r="R11" s="26" t="s">
        <v>274</v>
      </c>
      <c r="S11" s="43">
        <f t="shared" si="11"/>
        <v>0.14669223394055608</v>
      </c>
      <c r="T11" s="43">
        <f t="shared" si="12"/>
        <v>0.18628291935101182</v>
      </c>
      <c r="U11" s="26" t="str">
        <f>IF(OR(S11&lt;异常检测!$B$7,S11&gt;异常检测!$B$8),"保留-结构冲击","正常")</f>
        <v>正常</v>
      </c>
      <c r="V11" s="26" t="str">
        <f>IF(OR(T11&lt;异常检测!$E$7,T11&gt;异常检测!$E$8),"保留-结构冲击","正常")</f>
        <v>正常</v>
      </c>
      <c r="W11" s="26">
        <f t="shared" si="3"/>
        <v>0</v>
      </c>
      <c r="X11" s="26">
        <f t="shared" si="4"/>
        <v>0</v>
      </c>
      <c r="Y11" s="53" t="e">
        <f t="shared" ca="1" si="5"/>
        <v>#NAME?</v>
      </c>
      <c r="Z11" s="53" t="e">
        <f t="shared" ca="1" si="6"/>
        <v>#NAME?</v>
      </c>
      <c r="AA11" s="53" t="e">
        <f t="shared" ca="1" si="7"/>
        <v>#NAME?</v>
      </c>
      <c r="AB11" s="53" t="e">
        <f t="shared" ca="1" si="8"/>
        <v>#NAME?</v>
      </c>
      <c r="AC11" s="53">
        <f t="shared" si="9"/>
        <v>7.7798851150705222</v>
      </c>
      <c r="AD11" s="53">
        <f t="shared" si="10"/>
        <v>4.8675344504555822</v>
      </c>
    </row>
    <row r="12" spans="1:30" ht="31.05" customHeight="1">
      <c r="A12" s="29">
        <f>原始年度数据!A12</f>
        <v>2018</v>
      </c>
      <c r="B12" s="41">
        <f>IF(原始年度数据!B12="","",原始年度数据!B12)</f>
        <v>2660</v>
      </c>
      <c r="C12" s="41" t="str">
        <f>IF(原始年度数据!D12="","",原始年度数据!D12)</f>
        <v/>
      </c>
      <c r="D12" s="41">
        <f>IF(原始年度数据!F12="","",原始年度数据!F12)</f>
        <v>142</v>
      </c>
      <c r="E12" s="41">
        <f>IF(原始年度数据!H12="","",原始年度数据!H12)</f>
        <v>380</v>
      </c>
      <c r="F12" s="41" t="str">
        <f>IF(原始年度数据!J12="","",原始年度数据!J12)</f>
        <v/>
      </c>
      <c r="G12" s="26" t="str">
        <f>IF(原始年度数据!C12="","",原始年度数据!C12)</f>
        <v>observed_rounded</v>
      </c>
      <c r="H12" s="26" t="str">
        <f>IF(原始年度数据!G12="","",原始年度数据!G12)</f>
        <v>observed_rounded</v>
      </c>
      <c r="I12" s="26" t="str">
        <f>IF(原始年度数据!I12="","",原始年度数据!I12)</f>
        <v>provisional_estimate</v>
      </c>
      <c r="J12" s="26" t="str">
        <f>IF(原始年度数据!K12="","",原始年度数据!K12)</f>
        <v/>
      </c>
      <c r="K12" s="41">
        <f t="shared" si="0"/>
        <v>2660</v>
      </c>
      <c r="L12" s="26" t="s">
        <v>272</v>
      </c>
      <c r="M12" s="41">
        <f>D12</f>
        <v>142</v>
      </c>
      <c r="N12" s="26" t="s">
        <v>272</v>
      </c>
      <c r="O12" s="41">
        <f t="shared" ref="O12:O19" si="13">E12</f>
        <v>380</v>
      </c>
      <c r="P12" s="26" t="s">
        <v>272</v>
      </c>
      <c r="Q12" s="41">
        <f>O12*((Q8/O8)+((A12-A8)/(A13-A8))*((Q13/O13)-(Q8/O8)))</f>
        <v>232.17165576193759</v>
      </c>
      <c r="R12" s="26" t="s">
        <v>274</v>
      </c>
      <c r="S12" s="43">
        <f t="shared" si="11"/>
        <v>0.11204013377926425</v>
      </c>
      <c r="T12" s="43">
        <f t="shared" si="12"/>
        <v>9.2307692307692202E-2</v>
      </c>
      <c r="U12" s="26" t="str">
        <f>IF(OR(S12&lt;异常检测!$B$7,S12&gt;异常检测!$B$8),"保留-结构冲击","正常")</f>
        <v>正常</v>
      </c>
      <c r="V12" s="26" t="str">
        <f>IF(OR(T12&lt;异常检测!$E$7,T12&gt;异常检测!$E$8),"保留-结构冲击","正常")</f>
        <v>正常</v>
      </c>
      <c r="W12" s="26">
        <f t="shared" si="3"/>
        <v>0</v>
      </c>
      <c r="X12" s="26">
        <f t="shared" si="4"/>
        <v>0</v>
      </c>
      <c r="Y12" s="53" t="e">
        <f t="shared" ca="1" si="5"/>
        <v>#NAME?</v>
      </c>
      <c r="Z12" s="53" t="e">
        <f t="shared" ca="1" si="6"/>
        <v>#NAME?</v>
      </c>
      <c r="AA12" s="53" t="e">
        <f t="shared" ca="1" si="7"/>
        <v>#NAME?</v>
      </c>
      <c r="AB12" s="53" t="e">
        <f t="shared" ca="1" si="8"/>
        <v>#NAME?</v>
      </c>
      <c r="AC12" s="53">
        <f t="shared" si="9"/>
        <v>7.886081401775745</v>
      </c>
      <c r="AD12" s="53">
        <f t="shared" si="10"/>
        <v>4.9558270576012609</v>
      </c>
    </row>
    <row r="13" spans="1:30" ht="31.05" customHeight="1">
      <c r="A13" s="29">
        <f>原始年度数据!A13</f>
        <v>2019</v>
      </c>
      <c r="B13" s="41">
        <f>IF(原始年度数据!B13="","",原始年度数据!B13)</f>
        <v>2800</v>
      </c>
      <c r="C13" s="41" t="str">
        <f>IF(原始年度数据!D13="","",原始年度数据!D13)</f>
        <v/>
      </c>
      <c r="D13" s="41">
        <f>IF(原始年度数据!F13="","",原始年度数据!F13)</f>
        <v>165</v>
      </c>
      <c r="E13" s="41">
        <f>IF(原始年度数据!H13="","",原始年度数据!H13)</f>
        <v>210.8</v>
      </c>
      <c r="F13" s="41">
        <f>IF(原始年度数据!J13="","",原始年度数据!J13)</f>
        <v>129.91999999999999</v>
      </c>
      <c r="G13" s="26" t="str">
        <f>IF(原始年度数据!C13="","",原始年度数据!C13)</f>
        <v>observed_rounded</v>
      </c>
      <c r="H13" s="26" t="str">
        <f>IF(原始年度数据!G13="","",原始年度数据!G13)</f>
        <v>observed_rounded</v>
      </c>
      <c r="I13" s="26" t="str">
        <f>IF(原始年度数据!I13="","",原始年度数据!I13)</f>
        <v>official_initial</v>
      </c>
      <c r="J13" s="26" t="str">
        <f>IF(原始年度数据!K13="","",原始年度数据!K13)</f>
        <v>official_initial</v>
      </c>
      <c r="K13" s="41">
        <f t="shared" si="0"/>
        <v>2800</v>
      </c>
      <c r="L13" s="26" t="s">
        <v>272</v>
      </c>
      <c r="M13" s="41">
        <f>D13</f>
        <v>165</v>
      </c>
      <c r="N13" s="26" t="s">
        <v>272</v>
      </c>
      <c r="O13" s="41">
        <f t="shared" si="13"/>
        <v>210.8</v>
      </c>
      <c r="P13" s="26" t="s">
        <v>272</v>
      </c>
      <c r="Q13" s="41">
        <f t="shared" ref="Q13:Q19" si="14">F13</f>
        <v>129.91999999999999</v>
      </c>
      <c r="R13" s="26" t="s">
        <v>272</v>
      </c>
      <c r="S13" s="43">
        <f t="shared" si="11"/>
        <v>5.2631578947368363E-2</v>
      </c>
      <c r="T13" s="43">
        <f t="shared" si="12"/>
        <v>0.1619718309859155</v>
      </c>
      <c r="U13" s="26" t="str">
        <f>IF(OR(S13&lt;异常检测!$B$7,S13&gt;异常检测!$B$8),"保留-结构冲击","正常")</f>
        <v>正常</v>
      </c>
      <c r="V13" s="26" t="str">
        <f>IF(OR(T13&lt;异常检测!$E$7,T13&gt;异常检测!$E$8),"保留-结构冲击","正常")</f>
        <v>正常</v>
      </c>
      <c r="W13" s="26">
        <f t="shared" si="3"/>
        <v>0</v>
      </c>
      <c r="X13" s="26">
        <f t="shared" si="4"/>
        <v>1</v>
      </c>
      <c r="Y13" s="53" t="e">
        <f t="shared" ca="1" si="5"/>
        <v>#NAME?</v>
      </c>
      <c r="Z13" s="53" t="e">
        <f t="shared" ca="1" si="6"/>
        <v>#NAME?</v>
      </c>
      <c r="AA13" s="53" t="e">
        <f t="shared" ca="1" si="7"/>
        <v>#NAME?</v>
      </c>
      <c r="AB13" s="53" t="e">
        <f t="shared" ca="1" si="8"/>
        <v>#NAME?</v>
      </c>
      <c r="AC13" s="53">
        <f t="shared" si="9"/>
        <v>7.9373746961632952</v>
      </c>
      <c r="AD13" s="53">
        <f t="shared" si="10"/>
        <v>5.1059454739005803</v>
      </c>
    </row>
    <row r="14" spans="1:30" ht="31.05" customHeight="1">
      <c r="A14" s="29">
        <f>原始年度数据!A14</f>
        <v>2020</v>
      </c>
      <c r="B14" s="41" t="str">
        <f>IF(原始年度数据!B14="","",原始年度数据!B14)</f>
        <v/>
      </c>
      <c r="C14" s="41" t="str">
        <f>IF(原始年度数据!D14="","",原始年度数据!D14)</f>
        <v/>
      </c>
      <c r="D14" s="41" t="str">
        <f>IF(原始年度数据!F14="","",原始年度数据!F14)</f>
        <v/>
      </c>
      <c r="E14" s="41">
        <f>IF(原始年度数据!H14="","",原始年度数据!H14)</f>
        <v>224.6</v>
      </c>
      <c r="F14" s="41">
        <f>IF(原始年度数据!J14="","",原始年度数据!J14)</f>
        <v>142.55000000000001</v>
      </c>
      <c r="G14" s="26" t="str">
        <f>IF(原始年度数据!C14="","",原始年度数据!C14)</f>
        <v/>
      </c>
      <c r="H14" s="26" t="str">
        <f>IF(原始年度数据!G14="","",原始年度数据!G14)</f>
        <v/>
      </c>
      <c r="I14" s="26" t="str">
        <f>IF(原始年度数据!I14="","",原始年度数据!I14)</f>
        <v>official_initial</v>
      </c>
      <c r="J14" s="26" t="str">
        <f>IF(原始年度数据!K14="","",原始年度数据!K14)</f>
        <v>official_initial</v>
      </c>
      <c r="K14" s="41">
        <f>补充假设!$B$20</f>
        <v>1540.0000000000002</v>
      </c>
      <c r="L14" s="26" t="s">
        <v>277</v>
      </c>
      <c r="M14" s="41">
        <f>补充假设!$B$21</f>
        <v>81.675000000000011</v>
      </c>
      <c r="N14" s="26" t="s">
        <v>278</v>
      </c>
      <c r="O14" s="41">
        <f t="shared" si="13"/>
        <v>224.6</v>
      </c>
      <c r="P14" s="26" t="s">
        <v>272</v>
      </c>
      <c r="Q14" s="41">
        <f t="shared" si="14"/>
        <v>142.55000000000001</v>
      </c>
      <c r="R14" s="26" t="s">
        <v>272</v>
      </c>
      <c r="S14" s="43">
        <f t="shared" si="11"/>
        <v>-0.44999999999999996</v>
      </c>
      <c r="T14" s="43">
        <f t="shared" si="12"/>
        <v>-0.50499999999999989</v>
      </c>
      <c r="U14" s="26" t="str">
        <f>IF(OR(S14&lt;异常检测!$B$7,S14&gt;异常检测!$B$8),"保留-结构冲击","正常")</f>
        <v>保留-结构冲击</v>
      </c>
      <c r="V14" s="26" t="str">
        <f>IF(OR(T14&lt;异常检测!$E$7,T14&gt;异常检测!$E$8),"保留-结构冲击","正常")</f>
        <v>保留-结构冲击</v>
      </c>
      <c r="W14" s="26">
        <f t="shared" si="3"/>
        <v>1</v>
      </c>
      <c r="X14" s="26">
        <f t="shared" si="4"/>
        <v>1</v>
      </c>
      <c r="Y14" s="53" t="e">
        <f t="shared" ca="1" si="5"/>
        <v>#NAME?</v>
      </c>
      <c r="Z14" s="53" t="e">
        <f t="shared" ca="1" si="6"/>
        <v>#NAME?</v>
      </c>
      <c r="AA14" s="53" t="e">
        <f t="shared" ca="1" si="7"/>
        <v>#NAME?</v>
      </c>
      <c r="AB14" s="53" t="e">
        <f t="shared" ca="1" si="8"/>
        <v>#NAME?</v>
      </c>
      <c r="AC14" s="53">
        <f t="shared" si="9"/>
        <v>7.3395376954076754</v>
      </c>
      <c r="AD14" s="53">
        <f t="shared" si="10"/>
        <v>4.4027479574871338</v>
      </c>
    </row>
    <row r="15" spans="1:30" ht="31.05" customHeight="1">
      <c r="A15" s="29">
        <f>原始年度数据!A15</f>
        <v>2021</v>
      </c>
      <c r="B15" s="41" t="str">
        <f>IF(原始年度数据!B15="","",原始年度数据!B15)</f>
        <v/>
      </c>
      <c r="C15" s="41" t="str">
        <f>IF(原始年度数据!D15="","",原始年度数据!D15)</f>
        <v/>
      </c>
      <c r="D15" s="41">
        <f>IF(原始年度数据!F15="","",原始年度数据!F15)</f>
        <v>110</v>
      </c>
      <c r="E15" s="41">
        <f>IF(原始年度数据!H15="","",原始年度数据!H15)</f>
        <v>274.20339999999999</v>
      </c>
      <c r="F15" s="41">
        <f>IF(原始年度数据!J15="","",原始年度数据!J15)</f>
        <v>161.97319999999999</v>
      </c>
      <c r="G15" s="26" t="str">
        <f>IF(原始年度数据!C15="","",原始年度数据!C15)</f>
        <v/>
      </c>
      <c r="H15" s="26" t="str">
        <f>IF(原始年度数据!G15="","",原始年度数据!G15)</f>
        <v>observed_rounded</v>
      </c>
      <c r="I15" s="26" t="str">
        <f>IF(原始年度数据!I15="","",原始年度数据!I15)</f>
        <v>official_revised</v>
      </c>
      <c r="J15" s="26" t="str">
        <f>IF(原始年度数据!K15="","",原始年度数据!K15)</f>
        <v>official_revised</v>
      </c>
      <c r="K15" s="41">
        <f>补充假设!$B$18</f>
        <v>1988.8590604026845</v>
      </c>
      <c r="L15" s="26" t="s">
        <v>279</v>
      </c>
      <c r="M15" s="41">
        <f>D15</f>
        <v>110</v>
      </c>
      <c r="N15" s="26" t="s">
        <v>272</v>
      </c>
      <c r="O15" s="41">
        <f t="shared" si="13"/>
        <v>274.20339999999999</v>
      </c>
      <c r="P15" s="26" t="s">
        <v>272</v>
      </c>
      <c r="Q15" s="41">
        <f t="shared" si="14"/>
        <v>161.97319999999999</v>
      </c>
      <c r="R15" s="26" t="s">
        <v>272</v>
      </c>
      <c r="S15" s="43">
        <f t="shared" si="11"/>
        <v>0.2914669223394053</v>
      </c>
      <c r="T15" s="43">
        <f t="shared" si="12"/>
        <v>0.34680134680134667</v>
      </c>
      <c r="U15" s="26" t="str">
        <f>IF(OR(S15&lt;异常检测!$B$7,S15&gt;异常检测!$B$8),"保留-结构冲击","正常")</f>
        <v>正常</v>
      </c>
      <c r="V15" s="26" t="str">
        <f>IF(OR(T15&lt;异常检测!$E$7,T15&gt;异常检测!$E$8),"保留-结构冲击","正常")</f>
        <v>正常</v>
      </c>
      <c r="W15" s="26">
        <f t="shared" si="3"/>
        <v>1</v>
      </c>
      <c r="X15" s="26">
        <f t="shared" si="4"/>
        <v>1</v>
      </c>
      <c r="Y15" s="53" t="e">
        <f t="shared" ca="1" si="5"/>
        <v>#NAME?</v>
      </c>
      <c r="Z15" s="53" t="e">
        <f t="shared" ca="1" si="6"/>
        <v>#NAME?</v>
      </c>
      <c r="AA15" s="53" t="e">
        <f t="shared" ca="1" si="7"/>
        <v>#NAME?</v>
      </c>
      <c r="AB15" s="53" t="e">
        <f t="shared" ca="1" si="8"/>
        <v>#NAME?</v>
      </c>
      <c r="AC15" s="53">
        <f t="shared" si="9"/>
        <v>7.5953164168172664</v>
      </c>
      <c r="AD15" s="53">
        <f t="shared" si="10"/>
        <v>4.7004803657924166</v>
      </c>
    </row>
    <row r="16" spans="1:30" ht="31.05" customHeight="1">
      <c r="A16" s="29">
        <f>原始年度数据!A16</f>
        <v>2022</v>
      </c>
      <c r="B16" s="41" t="str">
        <f>IF(原始年度数据!B16="","",原始年度数据!B16)</f>
        <v/>
      </c>
      <c r="C16" s="41" t="str">
        <f>IF(原始年度数据!D16="","",原始年度数据!D16)</f>
        <v/>
      </c>
      <c r="D16" s="41" t="str">
        <f>IF(原始年度数据!F16="","",原始年度数据!F16)</f>
        <v/>
      </c>
      <c r="E16" s="41">
        <f>IF(原始年度数据!H16="","",原始年度数据!H16)</f>
        <v>282.2414</v>
      </c>
      <c r="F16" s="41">
        <f>IF(原始年度数据!J16="","",原始年度数据!J16)</f>
        <v>171.2106</v>
      </c>
      <c r="G16" s="26" t="str">
        <f>IF(原始年度数据!C16="","",原始年度数据!C16)</f>
        <v/>
      </c>
      <c r="H16" s="26" t="str">
        <f>IF(原始年度数据!G16="","",原始年度数据!G16)</f>
        <v/>
      </c>
      <c r="I16" s="26" t="str">
        <f>IF(原始年度数据!I16="","",原始年度数据!I16)</f>
        <v>official_revised</v>
      </c>
      <c r="J16" s="26" t="str">
        <f>IF(原始年度数据!K16="","",原始年度数据!K16)</f>
        <v>official_revised</v>
      </c>
      <c r="K16" s="41">
        <f>补充假设!$B$19</f>
        <v>705.14093959731542</v>
      </c>
      <c r="L16" s="26" t="s">
        <v>279</v>
      </c>
      <c r="M16" s="41">
        <f>补充假设!$B$17</f>
        <v>39</v>
      </c>
      <c r="N16" s="26" t="s">
        <v>280</v>
      </c>
      <c r="O16" s="41">
        <f t="shared" si="13"/>
        <v>282.2414</v>
      </c>
      <c r="P16" s="26" t="s">
        <v>272</v>
      </c>
      <c r="Q16" s="41">
        <f t="shared" si="14"/>
        <v>171.2106</v>
      </c>
      <c r="R16" s="26" t="s">
        <v>272</v>
      </c>
      <c r="S16" s="43">
        <f t="shared" si="11"/>
        <v>-0.6454545454545455</v>
      </c>
      <c r="T16" s="43">
        <f t="shared" si="12"/>
        <v>-0.6454545454545455</v>
      </c>
      <c r="U16" s="26" t="str">
        <f>IF(OR(S16&lt;异常检测!$B$7,S16&gt;异常检测!$B$8),"保留-结构冲击","正常")</f>
        <v>保留-结构冲击</v>
      </c>
      <c r="V16" s="26" t="str">
        <f>IF(OR(T16&lt;异常检测!$E$7,T16&gt;异常检测!$E$8),"保留-结构冲击","正常")</f>
        <v>保留-结构冲击</v>
      </c>
      <c r="W16" s="26">
        <f t="shared" si="3"/>
        <v>1</v>
      </c>
      <c r="X16" s="26">
        <f t="shared" si="4"/>
        <v>1</v>
      </c>
      <c r="Y16" s="53" t="e">
        <f t="shared" ca="1" si="5"/>
        <v>#NAME?</v>
      </c>
      <c r="Z16" s="53" t="e">
        <f t="shared" ca="1" si="6"/>
        <v>#NAME?</v>
      </c>
      <c r="AA16" s="53" t="e">
        <f t="shared" ca="1" si="7"/>
        <v>#NAME?</v>
      </c>
      <c r="AB16" s="53" t="e">
        <f t="shared" ca="1" si="8"/>
        <v>#NAME?</v>
      </c>
      <c r="AC16" s="53">
        <f t="shared" si="9"/>
        <v>6.5583976971544962</v>
      </c>
      <c r="AD16" s="53">
        <f t="shared" si="10"/>
        <v>3.6635616461296463</v>
      </c>
    </row>
    <row r="17" spans="1:30" ht="31.05" customHeight="1">
      <c r="A17" s="29">
        <f>原始年度数据!A17</f>
        <v>2023</v>
      </c>
      <c r="B17" s="41">
        <f>IF(原始年度数据!B17="","",原始年度数据!B17)</f>
        <v>2363</v>
      </c>
      <c r="C17" s="41" t="str">
        <f>IF(原始年度数据!D17="","",原始年度数据!D17)</f>
        <v/>
      </c>
      <c r="D17" s="41">
        <f>IF(原始年度数据!F17="","",原始年度数据!F17)</f>
        <v>191.5</v>
      </c>
      <c r="E17" s="41">
        <f>IF(原始年度数据!H17="","",原始年度数据!H17)</f>
        <v>288.30619999999999</v>
      </c>
      <c r="F17" s="41">
        <f>IF(原始年度数据!J17="","",原始年度数据!J17)</f>
        <v>176.17140000000001</v>
      </c>
      <c r="G17" s="26" t="str">
        <f>IF(原始年度数据!C17="","",原始年度数据!C17)</f>
        <v>observed_rounded</v>
      </c>
      <c r="H17" s="26" t="str">
        <f>IF(原始年度数据!G17="","",原始年度数据!G17)</f>
        <v>observed</v>
      </c>
      <c r="I17" s="26" t="str">
        <f>IF(原始年度数据!I17="","",原始年度数据!I17)</f>
        <v>official_final</v>
      </c>
      <c r="J17" s="26" t="str">
        <f>IF(原始年度数据!K17="","",原始年度数据!K17)</f>
        <v>official_final</v>
      </c>
      <c r="K17" s="41">
        <f>B17</f>
        <v>2363</v>
      </c>
      <c r="L17" s="26" t="s">
        <v>272</v>
      </c>
      <c r="M17" s="41">
        <f>D17</f>
        <v>191.5</v>
      </c>
      <c r="N17" s="26" t="s">
        <v>272</v>
      </c>
      <c r="O17" s="41">
        <f t="shared" si="13"/>
        <v>288.30619999999999</v>
      </c>
      <c r="P17" s="26" t="s">
        <v>272</v>
      </c>
      <c r="Q17" s="41">
        <f t="shared" si="14"/>
        <v>176.17140000000001</v>
      </c>
      <c r="R17" s="26" t="s">
        <v>272</v>
      </c>
      <c r="S17" s="43">
        <f t="shared" si="11"/>
        <v>2.3511031161365237</v>
      </c>
      <c r="T17" s="43">
        <f t="shared" si="12"/>
        <v>3.9102564102564106</v>
      </c>
      <c r="U17" s="26" t="str">
        <f>IF(OR(S17&lt;异常检测!$B$7,S17&gt;异常检测!$B$8),"保留-结构冲击","正常")</f>
        <v>保留-结构冲击</v>
      </c>
      <c r="V17" s="26" t="str">
        <f>IF(OR(T17&lt;异常检测!$E$7,T17&gt;异常检测!$E$8),"保留-结构冲击","正常")</f>
        <v>保留-结构冲击</v>
      </c>
      <c r="W17" s="26">
        <f t="shared" si="3"/>
        <v>0</v>
      </c>
      <c r="X17" s="26">
        <f t="shared" si="4"/>
        <v>1</v>
      </c>
      <c r="Y17" s="53" t="e">
        <f t="shared" ca="1" si="5"/>
        <v>#NAME?</v>
      </c>
      <c r="Z17" s="53" t="e">
        <f t="shared" ca="1" si="6"/>
        <v>#NAME?</v>
      </c>
      <c r="AA17" s="53" t="e">
        <f t="shared" ca="1" si="7"/>
        <v>#NAME?</v>
      </c>
      <c r="AB17" s="53" t="e">
        <f t="shared" ca="1" si="8"/>
        <v>#NAME?</v>
      </c>
      <c r="AC17" s="53">
        <f t="shared" si="9"/>
        <v>7.7676872771869077</v>
      </c>
      <c r="AD17" s="53">
        <f t="shared" si="10"/>
        <v>5.2548878086207003</v>
      </c>
    </row>
    <row r="18" spans="1:30" ht="31.05" customHeight="1">
      <c r="A18" s="29">
        <f>原始年度数据!A18</f>
        <v>2024</v>
      </c>
      <c r="B18" s="41">
        <f>IF(原始年度数据!B18="","",原始年度数据!B18)</f>
        <v>2643</v>
      </c>
      <c r="C18" s="41" t="str">
        <f>IF(原始年度数据!D18="","",原始年度数据!D18)</f>
        <v/>
      </c>
      <c r="D18" s="41">
        <f>IF(原始年度数据!F18="","",原始年度数据!F18)</f>
        <v>221</v>
      </c>
      <c r="E18" s="41">
        <f>IF(原始年度数据!H18="","",原始年度数据!H18)</f>
        <v>298.86500000000001</v>
      </c>
      <c r="F18" s="41">
        <f>IF(原始年度数据!J18="","",原始年度数据!J18)</f>
        <v>183.96539999999999</v>
      </c>
      <c r="G18" s="26" t="str">
        <f>IF(原始年度数据!C18="","",原始年度数据!C18)</f>
        <v>observed_rounded</v>
      </c>
      <c r="H18" s="26" t="str">
        <f>IF(原始年度数据!G18="","",原始年度数据!G18)</f>
        <v>observed_rounded</v>
      </c>
      <c r="I18" s="26" t="str">
        <f>IF(原始年度数据!I18="","",原始年度数据!I18)</f>
        <v>official_yearbook</v>
      </c>
      <c r="J18" s="26" t="str">
        <f>IF(原始年度数据!K18="","",原始年度数据!K18)</f>
        <v>official_yearbook</v>
      </c>
      <c r="K18" s="41">
        <f>B18</f>
        <v>2643</v>
      </c>
      <c r="L18" s="26" t="s">
        <v>272</v>
      </c>
      <c r="M18" s="41">
        <f>D18</f>
        <v>221</v>
      </c>
      <c r="N18" s="26" t="s">
        <v>272</v>
      </c>
      <c r="O18" s="41">
        <f t="shared" si="13"/>
        <v>298.86500000000001</v>
      </c>
      <c r="P18" s="26" t="s">
        <v>272</v>
      </c>
      <c r="Q18" s="41">
        <f t="shared" si="14"/>
        <v>183.96539999999999</v>
      </c>
      <c r="R18" s="26" t="s">
        <v>272</v>
      </c>
      <c r="S18" s="43">
        <f t="shared" si="11"/>
        <v>0.1184934405416842</v>
      </c>
      <c r="T18" s="43">
        <f t="shared" si="12"/>
        <v>0.15404699738903394</v>
      </c>
      <c r="U18" s="26" t="str">
        <f>IF(OR(S18&lt;异常检测!$B$7,S18&gt;异常检测!$B$8),"保留-结构冲击","正常")</f>
        <v>正常</v>
      </c>
      <c r="V18" s="26" t="str">
        <f>IF(OR(T18&lt;异常检测!$E$7,T18&gt;异常检测!$E$8),"保留-结构冲击","正常")</f>
        <v>正常</v>
      </c>
      <c r="W18" s="26">
        <f t="shared" si="3"/>
        <v>0</v>
      </c>
      <c r="X18" s="26">
        <f t="shared" si="4"/>
        <v>1</v>
      </c>
      <c r="Y18" s="53" t="e">
        <f t="shared" ca="1" si="5"/>
        <v>#NAME?</v>
      </c>
      <c r="Z18" s="53" t="e">
        <f t="shared" ca="1" si="6"/>
        <v>#NAME?</v>
      </c>
      <c r="AA18" s="53" t="e">
        <f t="shared" ca="1" si="7"/>
        <v>#NAME?</v>
      </c>
      <c r="AB18" s="53" t="e">
        <f t="shared" ca="1" si="8"/>
        <v>#NAME?</v>
      </c>
      <c r="AC18" s="53">
        <f t="shared" si="9"/>
        <v>7.879669914604289</v>
      </c>
      <c r="AD18" s="53">
        <f t="shared" si="10"/>
        <v>5.3981627015177525</v>
      </c>
    </row>
    <row r="19" spans="1:30" ht="31.05" customHeight="1">
      <c r="A19" s="39">
        <f>原始年度数据!A19</f>
        <v>2025</v>
      </c>
      <c r="B19" s="42" t="str">
        <f>IF(原始年度数据!B19="","",原始年度数据!B19)</f>
        <v/>
      </c>
      <c r="C19" s="42" t="str">
        <f>IF(原始年度数据!D19="","",原始年度数据!D19)</f>
        <v/>
      </c>
      <c r="D19" s="42" t="str">
        <f>IF(原始年度数据!F19="","",原始年度数据!F19)</f>
        <v/>
      </c>
      <c r="E19" s="42">
        <f>IF(原始年度数据!H19="","",原始年度数据!H19)</f>
        <v>311.94</v>
      </c>
      <c r="F19" s="42">
        <f>IF(原始年度数据!J19="","",原始年度数据!J19)</f>
        <v>195.17</v>
      </c>
      <c r="G19" s="27" t="str">
        <f>IF(原始年度数据!C19="","",原始年度数据!C19)</f>
        <v/>
      </c>
      <c r="H19" s="27" t="str">
        <f>IF(原始年度数据!G19="","",原始年度数据!G19)</f>
        <v/>
      </c>
      <c r="I19" s="27" t="str">
        <f>IF(原始年度数据!I19="","",原始年度数据!I19)</f>
        <v>official_initial</v>
      </c>
      <c r="J19" s="27" t="str">
        <f>IF(原始年度数据!K19="","",原始年度数据!K19)</f>
        <v>official_initial</v>
      </c>
      <c r="K19" s="42">
        <f>补充假设!$B$6</f>
        <v>2800</v>
      </c>
      <c r="L19" s="27" t="s">
        <v>281</v>
      </c>
      <c r="M19" s="42">
        <f>补充假设!$B$7</f>
        <v>231</v>
      </c>
      <c r="N19" s="27" t="s">
        <v>281</v>
      </c>
      <c r="O19" s="42">
        <f t="shared" si="13"/>
        <v>311.94</v>
      </c>
      <c r="P19" s="27" t="s">
        <v>272</v>
      </c>
      <c r="Q19" s="42">
        <f t="shared" si="14"/>
        <v>195.17</v>
      </c>
      <c r="R19" s="27" t="s">
        <v>272</v>
      </c>
      <c r="S19" s="51">
        <f t="shared" si="11"/>
        <v>5.9402194475974168E-2</v>
      </c>
      <c r="T19" s="51">
        <f t="shared" si="12"/>
        <v>4.5248868778280604E-2</v>
      </c>
      <c r="U19" s="27" t="str">
        <f>IF(OR(S19&lt;异常检测!$B$7,S19&gt;异常检测!$B$8),"保留-结构冲击","正常")</f>
        <v>正常</v>
      </c>
      <c r="V19" s="27" t="str">
        <f>IF(OR(T19&lt;异常检测!$E$7,T19&gt;异常检测!$E$8),"保留-结构冲击","正常")</f>
        <v>正常</v>
      </c>
      <c r="W19" s="27">
        <f t="shared" si="3"/>
        <v>0</v>
      </c>
      <c r="X19" s="27">
        <f t="shared" si="4"/>
        <v>1</v>
      </c>
      <c r="Y19" s="54" t="e">
        <f t="shared" ca="1" si="5"/>
        <v>#NAME?</v>
      </c>
      <c r="Z19" s="54" t="e">
        <f t="shared" ca="1" si="6"/>
        <v>#NAME?</v>
      </c>
      <c r="AA19" s="54" t="e">
        <f t="shared" ca="1" si="7"/>
        <v>#NAME?</v>
      </c>
      <c r="AB19" s="54" t="e">
        <f t="shared" ca="1" si="8"/>
        <v>#NAME?</v>
      </c>
      <c r="AC19" s="54">
        <f t="shared" si="9"/>
        <v>7.9373746961632952</v>
      </c>
      <c r="AD19" s="54">
        <f t="shared" si="10"/>
        <v>5.4424177105217932</v>
      </c>
    </row>
  </sheetData>
  <mergeCells count="2">
    <mergeCell ref="A1:AD1"/>
    <mergeCell ref="A2:AD2"/>
  </mergeCells>
  <phoneticPr fontId="12" type="noConversion"/>
  <conditionalFormatting sqref="K4:Q19">
    <cfRule type="expression" dxfId="5" priority="1">
      <formula>AND(K4&lt;&gt;"",B4="")</formula>
    </cfRule>
  </conditionalFormatting>
  <conditionalFormatting sqref="U4:V19">
    <cfRule type="containsText" dxfId="4" priority="2" operator="containsText" text="结构冲击"/>
  </conditionalFormatting>
  <conditionalFormatting sqref="W4:X19">
    <cfRule type="cellIs" dxfId="3" priority="3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showGridLines="0" zoomScale="71" workbookViewId="0">
      <selection activeCell="Q21" sqref="Q21"/>
    </sheetView>
  </sheetViews>
  <sheetFormatPr defaultRowHeight="13.8"/>
  <cols>
    <col min="1" max="1" width="10" customWidth="1"/>
    <col min="2" max="2" width="16" customWidth="1"/>
    <col min="3" max="3" width="18" customWidth="1"/>
    <col min="4" max="5" width="20" customWidth="1"/>
    <col min="6" max="6" width="10" customWidth="1"/>
    <col min="7" max="14" width="12" customWidth="1"/>
  </cols>
  <sheetData>
    <row r="1" spans="1:14" ht="34.049999999999997" customHeight="1">
      <c r="A1" s="67" t="s">
        <v>282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ht="42" customHeight="1">
      <c r="A2" s="82" t="s">
        <v>283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4" spans="1:14">
      <c r="A4" s="55" t="s">
        <v>284</v>
      </c>
      <c r="B4" s="61">
        <f>(SMALL(预处理结果!S5:S19,4)+SMALL(预处理结果!S5:S19,5))/2</f>
        <v>5.6016886711671265E-2</v>
      </c>
      <c r="D4" s="58" t="s">
        <v>285</v>
      </c>
      <c r="E4" s="64">
        <f>(SMALL(预处理结果!T5:T19,4)+SMALL(预处理结果!T5:T19,5))/2</f>
        <v>0.11137123745819388</v>
      </c>
    </row>
    <row r="5" spans="1:14">
      <c r="A5" s="56" t="s">
        <v>286</v>
      </c>
      <c r="B5" s="62">
        <f>(SMALL(预处理结果!S5:S19,11)+SMALL(预处理结果!S5:S19,12))/2</f>
        <v>0.18516810801862937</v>
      </c>
      <c r="D5" s="59" t="s">
        <v>287</v>
      </c>
      <c r="E5" s="65">
        <f>(SMALL(预处理结果!T5:T19,11)+SMALL(预处理结果!T5:T19,12))/2</f>
        <v>0.23269230769230775</v>
      </c>
    </row>
    <row r="6" spans="1:14">
      <c r="A6" s="56" t="s">
        <v>288</v>
      </c>
      <c r="B6" s="62">
        <f>B5-B4</f>
        <v>0.12915122130695811</v>
      </c>
      <c r="D6" s="59" t="s">
        <v>289</v>
      </c>
      <c r="E6" s="65">
        <f>E5-E4</f>
        <v>0.12132107023411387</v>
      </c>
    </row>
    <row r="7" spans="1:14">
      <c r="A7" s="56" t="s">
        <v>290</v>
      </c>
      <c r="B7" s="62">
        <f>B4-1.5*B6</f>
        <v>-0.1377099452487659</v>
      </c>
      <c r="D7" s="59" t="s">
        <v>291</v>
      </c>
      <c r="E7" s="65">
        <f>E4-1.5*E6</f>
        <v>-7.0610367892976922E-2</v>
      </c>
    </row>
    <row r="8" spans="1:14">
      <c r="A8" s="57" t="s">
        <v>292</v>
      </c>
      <c r="B8" s="63">
        <f>B5+1.5*B6</f>
        <v>0.37889493997906654</v>
      </c>
      <c r="D8" s="60" t="s">
        <v>293</v>
      </c>
      <c r="E8" s="66">
        <f>E5+1.5*E6</f>
        <v>0.41467391304347856</v>
      </c>
    </row>
    <row r="10" spans="1:14">
      <c r="A10" s="22" t="s">
        <v>129</v>
      </c>
      <c r="B10" s="23" t="s">
        <v>294</v>
      </c>
      <c r="C10" s="23" t="s">
        <v>295</v>
      </c>
      <c r="D10" s="23" t="s">
        <v>296</v>
      </c>
      <c r="E10" s="24" t="s">
        <v>297</v>
      </c>
    </row>
    <row r="11" spans="1:14">
      <c r="A11" s="25">
        <f>预处理结果!A4</f>
        <v>2010</v>
      </c>
      <c r="B11" s="50" t="str">
        <f>IF(预处理结果!S4="","",预处理结果!S4)</f>
        <v/>
      </c>
      <c r="C11" s="50" t="str">
        <f>IF(预处理结果!T4="","",预处理结果!T4)</f>
        <v/>
      </c>
      <c r="D11" s="25" t="str">
        <f>IF(预处理结果!U4="","",预处理结果!U4)</f>
        <v/>
      </c>
      <c r="E11" s="25" t="str">
        <f>IF(预处理结果!V4="","",预处理结果!V4)</f>
        <v/>
      </c>
    </row>
    <row r="12" spans="1:14">
      <c r="A12" s="26">
        <f>预处理结果!A5</f>
        <v>2011</v>
      </c>
      <c r="B12" s="43">
        <f>IF(预处理结果!S5="","",预处理结果!S5)</f>
        <v>0.29551886792452819</v>
      </c>
      <c r="C12" s="43">
        <f>IF(预处理结果!T5="","",预处理结果!T5)</f>
        <v>0.29499998254565241</v>
      </c>
      <c r="D12" s="26" t="str">
        <f>IF(预处理结果!U5="","",预处理结果!U5)</f>
        <v>正常</v>
      </c>
      <c r="E12" s="26" t="str">
        <f>IF(预处理结果!V5="","",预处理结果!V5)</f>
        <v>正常</v>
      </c>
    </row>
    <row r="13" spans="1:14">
      <c r="A13" s="26">
        <f>预处理结果!A6</f>
        <v>2012</v>
      </c>
      <c r="B13" s="43">
        <f>IF(预处理结果!S6="","",预处理结果!S6)</f>
        <v>4.8607318405243127E-2</v>
      </c>
      <c r="C13" s="43">
        <f>IF(预处理结果!T6="","",预处理结果!T6)</f>
        <v>0.13043478260869557</v>
      </c>
      <c r="D13" s="26" t="str">
        <f>IF(预处理结果!U6="","",预处理结果!U6)</f>
        <v>正常</v>
      </c>
      <c r="E13" s="26" t="str">
        <f>IF(预处理结果!V6="","",预处理结果!V6)</f>
        <v>正常</v>
      </c>
    </row>
    <row r="14" spans="1:14">
      <c r="A14" s="26">
        <f>预处理结果!A7</f>
        <v>2013</v>
      </c>
      <c r="B14" s="43">
        <f>IF(预处理结果!S7="","",预处理结果!S7)</f>
        <v>0.12413194444444442</v>
      </c>
      <c r="C14" s="43">
        <f>IF(预处理结果!T7="","",预处理结果!T7)</f>
        <v>0.21538461538461551</v>
      </c>
      <c r="D14" s="26" t="str">
        <f>IF(预处理结果!U7="","",预处理结果!U7)</f>
        <v>正常</v>
      </c>
      <c r="E14" s="26" t="str">
        <f>IF(预处理结果!V7="","",预处理结果!V7)</f>
        <v>正常</v>
      </c>
    </row>
    <row r="15" spans="1:14">
      <c r="A15" s="26">
        <f>预处理结果!A8</f>
        <v>2014</v>
      </c>
      <c r="B15" s="43">
        <f>IF(预处理结果!S8="","",预处理结果!S8)</f>
        <v>0.19953667953667953</v>
      </c>
      <c r="C15" s="43">
        <f>IF(预处理结果!T8="","",预处理结果!T8)</f>
        <v>0.25</v>
      </c>
      <c r="D15" s="26" t="str">
        <f>IF(预处理结果!U8="","",预处理结果!U8)</f>
        <v>正常</v>
      </c>
      <c r="E15" s="26" t="str">
        <f>IF(预处理结果!V8="","",预处理结果!V8)</f>
        <v>正常</v>
      </c>
    </row>
    <row r="16" spans="1:14">
      <c r="A16" s="26">
        <f>预处理结果!A9</f>
        <v>2015</v>
      </c>
      <c r="B16" s="43">
        <f>IF(预处理结果!S9="","",预处理结果!S9)</f>
        <v>0.17079953650057922</v>
      </c>
      <c r="C16" s="43">
        <f>IF(预处理结果!T9="","",预处理结果!T9)</f>
        <v>0.18987341772151889</v>
      </c>
      <c r="D16" s="26" t="str">
        <f>IF(预处理结果!U9="","",预处理结果!U9)</f>
        <v>正常</v>
      </c>
      <c r="E16" s="26" t="str">
        <f>IF(预处理结果!V9="","",预处理结果!V9)</f>
        <v>正常</v>
      </c>
    </row>
    <row r="17" spans="1:9">
      <c r="A17" s="26">
        <f>预处理结果!A10</f>
        <v>2016</v>
      </c>
      <c r="B17" s="43">
        <f>IF(预处理结果!S10="","",预处理结果!S10)</f>
        <v>0.14696049969209102</v>
      </c>
      <c r="C17" s="43">
        <f>IF(预处理结果!T10="","",预处理结果!T10)</f>
        <v>0.16580851063829805</v>
      </c>
      <c r="D17" s="26" t="str">
        <f>IF(预处理结果!U10="","",预处理结果!U10)</f>
        <v>正常</v>
      </c>
      <c r="E17" s="26" t="str">
        <f>IF(预处理结果!V10="","",预处理结果!V10)</f>
        <v>正常</v>
      </c>
    </row>
    <row r="18" spans="1:9">
      <c r="A18" s="26">
        <f>预处理结果!A11</f>
        <v>2017</v>
      </c>
      <c r="B18" s="43">
        <f>IF(预处理结果!S11="","",预处理结果!S11)</f>
        <v>0.14669223394055608</v>
      </c>
      <c r="C18" s="43">
        <f>IF(预处理结果!T11="","",预处理结果!T11)</f>
        <v>0.18628291935101182</v>
      </c>
      <c r="D18" s="26" t="str">
        <f>IF(预处理结果!U11="","",预处理结果!U11)</f>
        <v>正常</v>
      </c>
      <c r="E18" s="26" t="str">
        <f>IF(预处理结果!V11="","",预处理结果!V11)</f>
        <v>正常</v>
      </c>
    </row>
    <row r="19" spans="1:9">
      <c r="A19" s="26">
        <f>预处理结果!A12</f>
        <v>2018</v>
      </c>
      <c r="B19" s="43">
        <f>IF(预处理结果!S12="","",预处理结果!S12)</f>
        <v>0.11204013377926425</v>
      </c>
      <c r="C19" s="43">
        <f>IF(预处理结果!T12="","",预处理结果!T12)</f>
        <v>9.2307692307692202E-2</v>
      </c>
      <c r="D19" s="26" t="str">
        <f>IF(预处理结果!U12="","",预处理结果!U12)</f>
        <v>正常</v>
      </c>
      <c r="E19" s="26" t="str">
        <f>IF(预处理结果!V12="","",预处理结果!V12)</f>
        <v>正常</v>
      </c>
    </row>
    <row r="20" spans="1:9">
      <c r="A20" s="26">
        <f>预处理结果!A13</f>
        <v>2019</v>
      </c>
      <c r="B20" s="43">
        <f>IF(预处理结果!S13="","",预处理结果!S13)</f>
        <v>5.2631578947368363E-2</v>
      </c>
      <c r="C20" s="43">
        <f>IF(预处理结果!T13="","",预处理结果!T13)</f>
        <v>0.1619718309859155</v>
      </c>
      <c r="D20" s="26" t="str">
        <f>IF(预处理结果!U13="","",预处理结果!U13)</f>
        <v>正常</v>
      </c>
      <c r="E20" s="26" t="str">
        <f>IF(预处理结果!V13="","",预处理结果!V13)</f>
        <v>正常</v>
      </c>
    </row>
    <row r="21" spans="1:9">
      <c r="A21" s="26">
        <f>预处理结果!A14</f>
        <v>2020</v>
      </c>
      <c r="B21" s="43">
        <f>IF(预处理结果!S14="","",预处理结果!S14)</f>
        <v>-0.44999999999999996</v>
      </c>
      <c r="C21" s="43">
        <f>IF(预处理结果!T14="","",预处理结果!T14)</f>
        <v>-0.50499999999999989</v>
      </c>
      <c r="D21" s="26" t="str">
        <f>IF(预处理结果!U14="","",预处理结果!U14)</f>
        <v>保留-结构冲击</v>
      </c>
      <c r="E21" s="26" t="str">
        <f>IF(预处理结果!V14="","",预处理结果!V14)</f>
        <v>保留-结构冲击</v>
      </c>
    </row>
    <row r="22" spans="1:9">
      <c r="A22" s="26">
        <f>预处理结果!A15</f>
        <v>2021</v>
      </c>
      <c r="B22" s="43">
        <f>IF(预处理结果!S15="","",预处理结果!S15)</f>
        <v>0.2914669223394053</v>
      </c>
      <c r="C22" s="43">
        <f>IF(预处理结果!T15="","",预处理结果!T15)</f>
        <v>0.34680134680134667</v>
      </c>
      <c r="D22" s="26" t="str">
        <f>IF(预处理结果!U15="","",预处理结果!U15)</f>
        <v>正常</v>
      </c>
      <c r="E22" s="26" t="str">
        <f>IF(预处理结果!V15="","",预处理结果!V15)</f>
        <v>正常</v>
      </c>
    </row>
    <row r="23" spans="1:9">
      <c r="A23" s="26">
        <f>预处理结果!A16</f>
        <v>2022</v>
      </c>
      <c r="B23" s="43">
        <f>IF(预处理结果!S16="","",预处理结果!S16)</f>
        <v>-0.6454545454545455</v>
      </c>
      <c r="C23" s="43">
        <f>IF(预处理结果!T16="","",预处理结果!T16)</f>
        <v>-0.6454545454545455</v>
      </c>
      <c r="D23" s="26" t="str">
        <f>IF(预处理结果!U16="","",预处理结果!U16)</f>
        <v>保留-结构冲击</v>
      </c>
      <c r="E23" s="26" t="str">
        <f>IF(预处理结果!V16="","",预处理结果!V16)</f>
        <v>保留-结构冲击</v>
      </c>
    </row>
    <row r="24" spans="1:9">
      <c r="A24" s="26">
        <f>预处理结果!A17</f>
        <v>2023</v>
      </c>
      <c r="B24" s="43">
        <f>IF(预处理结果!S17="","",预处理结果!S17)</f>
        <v>2.3511031161365237</v>
      </c>
      <c r="C24" s="43">
        <f>IF(预处理结果!T17="","",预处理结果!T17)</f>
        <v>3.9102564102564106</v>
      </c>
      <c r="D24" s="26" t="str">
        <f>IF(预处理结果!U17="","",预处理结果!U17)</f>
        <v>保留-结构冲击</v>
      </c>
      <c r="E24" s="26" t="str">
        <f>IF(预处理结果!V17="","",预处理结果!V17)</f>
        <v>保留-结构冲击</v>
      </c>
    </row>
    <row r="25" spans="1:9">
      <c r="A25" s="26">
        <f>预处理结果!A18</f>
        <v>2024</v>
      </c>
      <c r="B25" s="43">
        <f>IF(预处理结果!S18="","",预处理结果!S18)</f>
        <v>0.1184934405416842</v>
      </c>
      <c r="C25" s="43">
        <f>IF(预处理结果!T18="","",预处理结果!T18)</f>
        <v>0.15404699738903394</v>
      </c>
      <c r="D25" s="26" t="str">
        <f>IF(预处理结果!U18="","",预处理结果!U18)</f>
        <v>正常</v>
      </c>
      <c r="E25" s="26" t="str">
        <f>IF(预处理结果!V18="","",预处理结果!V18)</f>
        <v>正常</v>
      </c>
    </row>
    <row r="26" spans="1:9">
      <c r="A26" s="27">
        <f>预处理结果!A19</f>
        <v>2025</v>
      </c>
      <c r="B26" s="51">
        <f>IF(预处理结果!S19="","",预处理结果!S19)</f>
        <v>5.9402194475974168E-2</v>
      </c>
      <c r="C26" s="51">
        <f>IF(预处理结果!T19="","",预处理结果!T19)</f>
        <v>4.5248868778280604E-2</v>
      </c>
      <c r="D26" s="27" t="str">
        <f>IF(预处理结果!U19="","",预处理结果!U19)</f>
        <v>正常</v>
      </c>
      <c r="E26" s="27" t="str">
        <f>IF(预处理结果!V19="","",预处理结果!V19)</f>
        <v>正常</v>
      </c>
    </row>
    <row r="30" spans="1:9">
      <c r="A30" s="22" t="s">
        <v>129</v>
      </c>
      <c r="B30" s="23" t="s">
        <v>294</v>
      </c>
      <c r="C30" s="23" t="s">
        <v>298</v>
      </c>
      <c r="D30" s="24" t="s">
        <v>299</v>
      </c>
      <c r="F30" s="22" t="s">
        <v>129</v>
      </c>
      <c r="G30" s="23" t="s">
        <v>295</v>
      </c>
      <c r="H30" s="23" t="s">
        <v>298</v>
      </c>
      <c r="I30" s="24" t="s">
        <v>299</v>
      </c>
    </row>
    <row r="31" spans="1:9">
      <c r="A31" s="25">
        <f t="shared" ref="A31:B46" si="0">A11</f>
        <v>2010</v>
      </c>
      <c r="B31" s="50" t="str">
        <f t="shared" si="0"/>
        <v/>
      </c>
      <c r="C31" s="50">
        <f t="shared" ref="C31:C46" si="1">$B$7</f>
        <v>-0.1377099452487659</v>
      </c>
      <c r="D31" s="50">
        <f t="shared" ref="D31:D46" si="2">$B$8</f>
        <v>0.37889493997906654</v>
      </c>
      <c r="F31" s="25">
        <f t="shared" ref="F31:F46" si="3">A11</f>
        <v>2010</v>
      </c>
      <c r="G31" s="50" t="str">
        <f t="shared" ref="G31:G46" si="4">C11</f>
        <v/>
      </c>
      <c r="H31" s="50">
        <f t="shared" ref="H31:H46" si="5">$E$7</f>
        <v>-7.0610367892976922E-2</v>
      </c>
      <c r="I31" s="50">
        <f t="shared" ref="I31:I46" si="6">$E$8</f>
        <v>0.41467391304347856</v>
      </c>
    </row>
    <row r="32" spans="1:9">
      <c r="A32" s="26">
        <f t="shared" si="0"/>
        <v>2011</v>
      </c>
      <c r="B32" s="43">
        <f t="shared" si="0"/>
        <v>0.29551886792452819</v>
      </c>
      <c r="C32" s="43">
        <f t="shared" si="1"/>
        <v>-0.1377099452487659</v>
      </c>
      <c r="D32" s="43">
        <f t="shared" si="2"/>
        <v>0.37889493997906654</v>
      </c>
      <c r="F32" s="26">
        <f t="shared" si="3"/>
        <v>2011</v>
      </c>
      <c r="G32" s="43">
        <f t="shared" si="4"/>
        <v>0.29499998254565241</v>
      </c>
      <c r="H32" s="43">
        <f t="shared" si="5"/>
        <v>-7.0610367892976922E-2</v>
      </c>
      <c r="I32" s="43">
        <f t="shared" si="6"/>
        <v>0.41467391304347856</v>
      </c>
    </row>
    <row r="33" spans="1:9">
      <c r="A33" s="26">
        <f t="shared" si="0"/>
        <v>2012</v>
      </c>
      <c r="B33" s="43">
        <f t="shared" si="0"/>
        <v>4.8607318405243127E-2</v>
      </c>
      <c r="C33" s="43">
        <f t="shared" si="1"/>
        <v>-0.1377099452487659</v>
      </c>
      <c r="D33" s="43">
        <f t="shared" si="2"/>
        <v>0.37889493997906654</v>
      </c>
      <c r="F33" s="26">
        <f t="shared" si="3"/>
        <v>2012</v>
      </c>
      <c r="G33" s="43">
        <f t="shared" si="4"/>
        <v>0.13043478260869557</v>
      </c>
      <c r="H33" s="43">
        <f t="shared" si="5"/>
        <v>-7.0610367892976922E-2</v>
      </c>
      <c r="I33" s="43">
        <f t="shared" si="6"/>
        <v>0.41467391304347856</v>
      </c>
    </row>
    <row r="34" spans="1:9">
      <c r="A34" s="26">
        <f t="shared" si="0"/>
        <v>2013</v>
      </c>
      <c r="B34" s="43">
        <f t="shared" si="0"/>
        <v>0.12413194444444442</v>
      </c>
      <c r="C34" s="43">
        <f t="shared" si="1"/>
        <v>-0.1377099452487659</v>
      </c>
      <c r="D34" s="43">
        <f t="shared" si="2"/>
        <v>0.37889493997906654</v>
      </c>
      <c r="F34" s="26">
        <f t="shared" si="3"/>
        <v>2013</v>
      </c>
      <c r="G34" s="43">
        <f t="shared" si="4"/>
        <v>0.21538461538461551</v>
      </c>
      <c r="H34" s="43">
        <f t="shared" si="5"/>
        <v>-7.0610367892976922E-2</v>
      </c>
      <c r="I34" s="43">
        <f t="shared" si="6"/>
        <v>0.41467391304347856</v>
      </c>
    </row>
    <row r="35" spans="1:9">
      <c r="A35" s="26">
        <f t="shared" si="0"/>
        <v>2014</v>
      </c>
      <c r="B35" s="43">
        <f t="shared" si="0"/>
        <v>0.19953667953667953</v>
      </c>
      <c r="C35" s="43">
        <f t="shared" si="1"/>
        <v>-0.1377099452487659</v>
      </c>
      <c r="D35" s="43">
        <f t="shared" si="2"/>
        <v>0.37889493997906654</v>
      </c>
      <c r="F35" s="26">
        <f t="shared" si="3"/>
        <v>2014</v>
      </c>
      <c r="G35" s="43">
        <f t="shared" si="4"/>
        <v>0.25</v>
      </c>
      <c r="H35" s="43">
        <f t="shared" si="5"/>
        <v>-7.0610367892976922E-2</v>
      </c>
      <c r="I35" s="43">
        <f t="shared" si="6"/>
        <v>0.41467391304347856</v>
      </c>
    </row>
    <row r="36" spans="1:9">
      <c r="A36" s="26">
        <f t="shared" si="0"/>
        <v>2015</v>
      </c>
      <c r="B36" s="43">
        <f t="shared" si="0"/>
        <v>0.17079953650057922</v>
      </c>
      <c r="C36" s="43">
        <f t="shared" si="1"/>
        <v>-0.1377099452487659</v>
      </c>
      <c r="D36" s="43">
        <f t="shared" si="2"/>
        <v>0.37889493997906654</v>
      </c>
      <c r="F36" s="26">
        <f t="shared" si="3"/>
        <v>2015</v>
      </c>
      <c r="G36" s="43">
        <f t="shared" si="4"/>
        <v>0.18987341772151889</v>
      </c>
      <c r="H36" s="43">
        <f t="shared" si="5"/>
        <v>-7.0610367892976922E-2</v>
      </c>
      <c r="I36" s="43">
        <f t="shared" si="6"/>
        <v>0.41467391304347856</v>
      </c>
    </row>
    <row r="37" spans="1:9">
      <c r="A37" s="26">
        <f t="shared" si="0"/>
        <v>2016</v>
      </c>
      <c r="B37" s="43">
        <f t="shared" si="0"/>
        <v>0.14696049969209102</v>
      </c>
      <c r="C37" s="43">
        <f t="shared" si="1"/>
        <v>-0.1377099452487659</v>
      </c>
      <c r="D37" s="43">
        <f t="shared" si="2"/>
        <v>0.37889493997906654</v>
      </c>
      <c r="F37" s="26">
        <f t="shared" si="3"/>
        <v>2016</v>
      </c>
      <c r="G37" s="43">
        <f t="shared" si="4"/>
        <v>0.16580851063829805</v>
      </c>
      <c r="H37" s="43">
        <f t="shared" si="5"/>
        <v>-7.0610367892976922E-2</v>
      </c>
      <c r="I37" s="43">
        <f t="shared" si="6"/>
        <v>0.41467391304347856</v>
      </c>
    </row>
    <row r="38" spans="1:9">
      <c r="A38" s="26">
        <f t="shared" si="0"/>
        <v>2017</v>
      </c>
      <c r="B38" s="43">
        <f t="shared" si="0"/>
        <v>0.14669223394055608</v>
      </c>
      <c r="C38" s="43">
        <f t="shared" si="1"/>
        <v>-0.1377099452487659</v>
      </c>
      <c r="D38" s="43">
        <f t="shared" si="2"/>
        <v>0.37889493997906654</v>
      </c>
      <c r="F38" s="26">
        <f t="shared" si="3"/>
        <v>2017</v>
      </c>
      <c r="G38" s="43">
        <f t="shared" si="4"/>
        <v>0.18628291935101182</v>
      </c>
      <c r="H38" s="43">
        <f t="shared" si="5"/>
        <v>-7.0610367892976922E-2</v>
      </c>
      <c r="I38" s="43">
        <f t="shared" si="6"/>
        <v>0.41467391304347856</v>
      </c>
    </row>
    <row r="39" spans="1:9">
      <c r="A39" s="26">
        <f t="shared" si="0"/>
        <v>2018</v>
      </c>
      <c r="B39" s="43">
        <f t="shared" si="0"/>
        <v>0.11204013377926425</v>
      </c>
      <c r="C39" s="43">
        <f t="shared" si="1"/>
        <v>-0.1377099452487659</v>
      </c>
      <c r="D39" s="43">
        <f t="shared" si="2"/>
        <v>0.37889493997906654</v>
      </c>
      <c r="F39" s="26">
        <f t="shared" si="3"/>
        <v>2018</v>
      </c>
      <c r="G39" s="43">
        <f t="shared" si="4"/>
        <v>9.2307692307692202E-2</v>
      </c>
      <c r="H39" s="43">
        <f t="shared" si="5"/>
        <v>-7.0610367892976922E-2</v>
      </c>
      <c r="I39" s="43">
        <f t="shared" si="6"/>
        <v>0.41467391304347856</v>
      </c>
    </row>
    <row r="40" spans="1:9">
      <c r="A40" s="26">
        <f t="shared" si="0"/>
        <v>2019</v>
      </c>
      <c r="B40" s="43">
        <f t="shared" si="0"/>
        <v>5.2631578947368363E-2</v>
      </c>
      <c r="C40" s="43">
        <f t="shared" si="1"/>
        <v>-0.1377099452487659</v>
      </c>
      <c r="D40" s="43">
        <f t="shared" si="2"/>
        <v>0.37889493997906654</v>
      </c>
      <c r="F40" s="26">
        <f t="shared" si="3"/>
        <v>2019</v>
      </c>
      <c r="G40" s="43">
        <f t="shared" si="4"/>
        <v>0.1619718309859155</v>
      </c>
      <c r="H40" s="43">
        <f t="shared" si="5"/>
        <v>-7.0610367892976922E-2</v>
      </c>
      <c r="I40" s="43">
        <f t="shared" si="6"/>
        <v>0.41467391304347856</v>
      </c>
    </row>
    <row r="41" spans="1:9">
      <c r="A41" s="26">
        <f t="shared" si="0"/>
        <v>2020</v>
      </c>
      <c r="B41" s="43">
        <f t="shared" si="0"/>
        <v>-0.44999999999999996</v>
      </c>
      <c r="C41" s="43">
        <f t="shared" si="1"/>
        <v>-0.1377099452487659</v>
      </c>
      <c r="D41" s="43">
        <f t="shared" si="2"/>
        <v>0.37889493997906654</v>
      </c>
      <c r="F41" s="26">
        <f t="shared" si="3"/>
        <v>2020</v>
      </c>
      <c r="G41" s="43">
        <f t="shared" si="4"/>
        <v>-0.50499999999999989</v>
      </c>
      <c r="H41" s="43">
        <f t="shared" si="5"/>
        <v>-7.0610367892976922E-2</v>
      </c>
      <c r="I41" s="43">
        <f t="shared" si="6"/>
        <v>0.41467391304347856</v>
      </c>
    </row>
    <row r="42" spans="1:9">
      <c r="A42" s="26">
        <f t="shared" si="0"/>
        <v>2021</v>
      </c>
      <c r="B42" s="43">
        <f t="shared" si="0"/>
        <v>0.2914669223394053</v>
      </c>
      <c r="C42" s="43">
        <f t="shared" si="1"/>
        <v>-0.1377099452487659</v>
      </c>
      <c r="D42" s="43">
        <f t="shared" si="2"/>
        <v>0.37889493997906654</v>
      </c>
      <c r="F42" s="26">
        <f t="shared" si="3"/>
        <v>2021</v>
      </c>
      <c r="G42" s="43">
        <f t="shared" si="4"/>
        <v>0.34680134680134667</v>
      </c>
      <c r="H42" s="43">
        <f t="shared" si="5"/>
        <v>-7.0610367892976922E-2</v>
      </c>
      <c r="I42" s="43">
        <f t="shared" si="6"/>
        <v>0.41467391304347856</v>
      </c>
    </row>
    <row r="43" spans="1:9">
      <c r="A43" s="26">
        <f t="shared" si="0"/>
        <v>2022</v>
      </c>
      <c r="B43" s="43">
        <f t="shared" si="0"/>
        <v>-0.6454545454545455</v>
      </c>
      <c r="C43" s="43">
        <f t="shared" si="1"/>
        <v>-0.1377099452487659</v>
      </c>
      <c r="D43" s="43">
        <f t="shared" si="2"/>
        <v>0.37889493997906654</v>
      </c>
      <c r="F43" s="26">
        <f t="shared" si="3"/>
        <v>2022</v>
      </c>
      <c r="G43" s="43">
        <f t="shared" si="4"/>
        <v>-0.6454545454545455</v>
      </c>
      <c r="H43" s="43">
        <f t="shared" si="5"/>
        <v>-7.0610367892976922E-2</v>
      </c>
      <c r="I43" s="43">
        <f t="shared" si="6"/>
        <v>0.41467391304347856</v>
      </c>
    </row>
    <row r="44" spans="1:9">
      <c r="A44" s="26">
        <f t="shared" si="0"/>
        <v>2023</v>
      </c>
      <c r="B44" s="43">
        <f t="shared" si="0"/>
        <v>2.3511031161365237</v>
      </c>
      <c r="C44" s="43">
        <f t="shared" si="1"/>
        <v>-0.1377099452487659</v>
      </c>
      <c r="D44" s="43">
        <f t="shared" si="2"/>
        <v>0.37889493997906654</v>
      </c>
      <c r="F44" s="26">
        <f t="shared" si="3"/>
        <v>2023</v>
      </c>
      <c r="G44" s="43">
        <f t="shared" si="4"/>
        <v>3.9102564102564106</v>
      </c>
      <c r="H44" s="43">
        <f t="shared" si="5"/>
        <v>-7.0610367892976922E-2</v>
      </c>
      <c r="I44" s="43">
        <f t="shared" si="6"/>
        <v>0.41467391304347856</v>
      </c>
    </row>
    <row r="45" spans="1:9">
      <c r="A45" s="26">
        <f t="shared" si="0"/>
        <v>2024</v>
      </c>
      <c r="B45" s="43">
        <f t="shared" si="0"/>
        <v>0.1184934405416842</v>
      </c>
      <c r="C45" s="43">
        <f t="shared" si="1"/>
        <v>-0.1377099452487659</v>
      </c>
      <c r="D45" s="43">
        <f t="shared" si="2"/>
        <v>0.37889493997906654</v>
      </c>
      <c r="F45" s="26">
        <f t="shared" si="3"/>
        <v>2024</v>
      </c>
      <c r="G45" s="43">
        <f t="shared" si="4"/>
        <v>0.15404699738903394</v>
      </c>
      <c r="H45" s="43">
        <f t="shared" si="5"/>
        <v>-7.0610367892976922E-2</v>
      </c>
      <c r="I45" s="43">
        <f t="shared" si="6"/>
        <v>0.41467391304347856</v>
      </c>
    </row>
    <row r="46" spans="1:9">
      <c r="A46" s="27">
        <f t="shared" si="0"/>
        <v>2025</v>
      </c>
      <c r="B46" s="51">
        <f t="shared" si="0"/>
        <v>5.9402194475974168E-2</v>
      </c>
      <c r="C46" s="51">
        <f t="shared" si="1"/>
        <v>-0.1377099452487659</v>
      </c>
      <c r="D46" s="51">
        <f t="shared" si="2"/>
        <v>0.37889493997906654</v>
      </c>
      <c r="F46" s="27">
        <f t="shared" si="3"/>
        <v>2025</v>
      </c>
      <c r="G46" s="51">
        <f t="shared" si="4"/>
        <v>4.5248868778280604E-2</v>
      </c>
      <c r="H46" s="51">
        <f t="shared" si="5"/>
        <v>-7.0610367892976922E-2</v>
      </c>
      <c r="I46" s="51">
        <f t="shared" si="6"/>
        <v>0.41467391304347856</v>
      </c>
    </row>
  </sheetData>
  <mergeCells count="2">
    <mergeCell ref="A1:N1"/>
    <mergeCell ref="A2:N2"/>
  </mergeCells>
  <phoneticPr fontId="12" type="noConversion"/>
  <conditionalFormatting sqref="D11:E26">
    <cfRule type="containsText" dxfId="2" priority="1" operator="containsText" text="结构冲击"/>
  </conditionalFormatting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0"/>
  <sheetViews>
    <sheetView showGridLines="0" tabSelected="1" topLeftCell="A4" workbookViewId="0">
      <selection activeCell="C25" sqref="C25"/>
    </sheetView>
  </sheetViews>
  <sheetFormatPr defaultRowHeight="13.8"/>
  <cols>
    <col min="1" max="1" width="10" customWidth="1"/>
    <col min="2" max="5" width="15" customWidth="1"/>
    <col min="6" max="6" width="3" customWidth="1"/>
    <col min="7" max="14" width="12" customWidth="1"/>
  </cols>
  <sheetData>
    <row r="1" spans="1:14" ht="34.049999999999997" customHeight="1">
      <c r="A1" s="67" t="s">
        <v>300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ht="34.049999999999997" customHeight="1">
      <c r="A2" s="82" t="s">
        <v>301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4" spans="1:14">
      <c r="A4" s="22" t="s">
        <v>129</v>
      </c>
      <c r="B4" s="23" t="s">
        <v>247</v>
      </c>
      <c r="C4" s="23" t="s">
        <v>302</v>
      </c>
      <c r="D4" s="23" t="s">
        <v>303</v>
      </c>
      <c r="E4" s="24" t="s">
        <v>304</v>
      </c>
    </row>
    <row r="5" spans="1:14">
      <c r="A5" s="25">
        <f>预处理结果!A4</f>
        <v>2010</v>
      </c>
      <c r="B5" s="40">
        <f>IF(预处理结果!B4="","",预处理结果!B4)</f>
        <v>848</v>
      </c>
      <c r="C5" s="40">
        <f>预处理结果!K4</f>
        <v>848</v>
      </c>
      <c r="D5" s="40">
        <f>IF(预处理结果!D4="","",预处理结果!D4)</f>
        <v>35.521236000000002</v>
      </c>
      <c r="E5" s="40">
        <f>预处理结果!M4</f>
        <v>35.521236000000002</v>
      </c>
    </row>
    <row r="6" spans="1:14">
      <c r="A6" s="26">
        <f>预处理结果!A5</f>
        <v>2011</v>
      </c>
      <c r="B6" s="41">
        <f>IF(预处理结果!B5="","",预处理结果!B5)</f>
        <v>1098.5999999999999</v>
      </c>
      <c r="C6" s="41">
        <f>预处理结果!K5</f>
        <v>1098.5999999999999</v>
      </c>
      <c r="D6" s="41">
        <f>IF(预处理结果!D5="","",预处理结果!D5)</f>
        <v>46</v>
      </c>
      <c r="E6" s="41">
        <f>预处理结果!M5</f>
        <v>46</v>
      </c>
    </row>
    <row r="7" spans="1:14">
      <c r="A7" s="26">
        <f>预处理结果!A6</f>
        <v>2012</v>
      </c>
      <c r="B7" s="41">
        <f>IF(预处理结果!B6="","",预处理结果!B6)</f>
        <v>1152</v>
      </c>
      <c r="C7" s="41">
        <f>预处理结果!K6</f>
        <v>1152</v>
      </c>
      <c r="D7" s="41">
        <f>IF(预处理结果!D6="","",预处理结果!D6)</f>
        <v>52</v>
      </c>
      <c r="E7" s="41">
        <f>预处理结果!M6</f>
        <v>52</v>
      </c>
    </row>
    <row r="8" spans="1:14">
      <c r="A8" s="26">
        <f>预处理结果!A7</f>
        <v>2013</v>
      </c>
      <c r="B8" s="41">
        <f>IF(预处理结果!B7="","",预处理结果!B7)</f>
        <v>1295</v>
      </c>
      <c r="C8" s="41">
        <f>预处理结果!K7</f>
        <v>1295</v>
      </c>
      <c r="D8" s="41">
        <f>IF(预处理结果!D7="","",预处理结果!D7)</f>
        <v>63.2</v>
      </c>
      <c r="E8" s="41">
        <f>预处理结果!M7</f>
        <v>63.2</v>
      </c>
    </row>
    <row r="9" spans="1:14">
      <c r="A9" s="26">
        <f>预处理结果!A8</f>
        <v>2014</v>
      </c>
      <c r="B9" s="41">
        <f>IF(预处理结果!B8="","",预处理结果!B8)</f>
        <v>1553.4</v>
      </c>
      <c r="C9" s="41">
        <f>预处理结果!K8</f>
        <v>1553.4</v>
      </c>
      <c r="D9" s="41">
        <f>IF(预处理结果!D8="","",预处理结果!D8)</f>
        <v>79</v>
      </c>
      <c r="E9" s="41">
        <f>预处理结果!M8</f>
        <v>79</v>
      </c>
    </row>
    <row r="10" spans="1:14">
      <c r="A10" s="26">
        <f>预处理结果!A9</f>
        <v>2015</v>
      </c>
      <c r="B10" s="41">
        <f>IF(预处理结果!B9="","",预处理结果!B9)</f>
        <v>1818.72</v>
      </c>
      <c r="C10" s="41">
        <f>预处理结果!K9</f>
        <v>1818.72</v>
      </c>
      <c r="D10" s="41">
        <f>IF(预处理结果!D9="","",预处理结果!D9)</f>
        <v>94</v>
      </c>
      <c r="E10" s="41">
        <f>预处理结果!M9</f>
        <v>94</v>
      </c>
    </row>
    <row r="11" spans="1:14">
      <c r="A11" s="26">
        <f>预处理结果!A10</f>
        <v>2016</v>
      </c>
      <c r="B11" s="41">
        <f>IF(预处理结果!B10="","",预处理结果!B10)</f>
        <v>2086</v>
      </c>
      <c r="C11" s="41">
        <f>预处理结果!K10</f>
        <v>2086</v>
      </c>
      <c r="D11" s="41" t="str">
        <f>IF(预处理结果!D10="","",预处理结果!D10)</f>
        <v/>
      </c>
      <c r="E11" s="41">
        <f>预处理结果!M10</f>
        <v>109.58600000000001</v>
      </c>
    </row>
    <row r="12" spans="1:14">
      <c r="A12" s="26">
        <f>预处理结果!A11</f>
        <v>2017</v>
      </c>
      <c r="B12" s="41">
        <f>IF(预处理结果!B11="","",预处理结果!B11)</f>
        <v>2392</v>
      </c>
      <c r="C12" s="41">
        <f>预处理结果!K11</f>
        <v>2392</v>
      </c>
      <c r="D12" s="41">
        <f>IF(预处理结果!D11="","",预处理结果!D11)</f>
        <v>130</v>
      </c>
      <c r="E12" s="41">
        <f>预处理结果!M11</f>
        <v>130</v>
      </c>
    </row>
    <row r="13" spans="1:14">
      <c r="A13" s="26">
        <f>预处理结果!A12</f>
        <v>2018</v>
      </c>
      <c r="B13" s="41">
        <f>IF(预处理结果!B12="","",预处理结果!B12)</f>
        <v>2660</v>
      </c>
      <c r="C13" s="41">
        <f>预处理结果!K12</f>
        <v>2660</v>
      </c>
      <c r="D13" s="41">
        <f>IF(预处理结果!D12="","",预处理结果!D12)</f>
        <v>142</v>
      </c>
      <c r="E13" s="41">
        <f>预处理结果!M12</f>
        <v>142</v>
      </c>
    </row>
    <row r="14" spans="1:14">
      <c r="A14" s="26">
        <f>预处理结果!A13</f>
        <v>2019</v>
      </c>
      <c r="B14" s="41">
        <f>IF(预处理结果!B13="","",预处理结果!B13)</f>
        <v>2800</v>
      </c>
      <c r="C14" s="41">
        <f>预处理结果!K13</f>
        <v>2800</v>
      </c>
      <c r="D14" s="41">
        <f>IF(预处理结果!D13="","",预处理结果!D13)</f>
        <v>165</v>
      </c>
      <c r="E14" s="41">
        <f>预处理结果!M13</f>
        <v>165</v>
      </c>
    </row>
    <row r="15" spans="1:14">
      <c r="A15" s="26">
        <f>预处理结果!A14</f>
        <v>2020</v>
      </c>
      <c r="B15" s="41" t="str">
        <f>IF(预处理结果!B14="","",预处理结果!B14)</f>
        <v/>
      </c>
      <c r="C15" s="41">
        <f>预处理结果!K14</f>
        <v>1540.0000000000002</v>
      </c>
      <c r="D15" s="41" t="str">
        <f>IF(预处理结果!D14="","",预处理结果!D14)</f>
        <v/>
      </c>
      <c r="E15" s="41">
        <f>预处理结果!M14</f>
        <v>81.675000000000011</v>
      </c>
    </row>
    <row r="16" spans="1:14">
      <c r="A16" s="26">
        <f>预处理结果!A15</f>
        <v>2021</v>
      </c>
      <c r="B16" s="41" t="str">
        <f>IF(预处理结果!B15="","",预处理结果!B15)</f>
        <v/>
      </c>
      <c r="C16" s="41">
        <f>预处理结果!K15</f>
        <v>1988.8590604026845</v>
      </c>
      <c r="D16" s="41">
        <f>IF(预处理结果!D15="","",预处理结果!D15)</f>
        <v>110</v>
      </c>
      <c r="E16" s="41">
        <f>预处理结果!M15</f>
        <v>110</v>
      </c>
    </row>
    <row r="17" spans="1:5">
      <c r="A17" s="26">
        <f>预处理结果!A16</f>
        <v>2022</v>
      </c>
      <c r="B17" s="41" t="str">
        <f>IF(预处理结果!B16="","",预处理结果!B16)</f>
        <v/>
      </c>
      <c r="C17" s="41">
        <f>预处理结果!K16</f>
        <v>705.14093959731542</v>
      </c>
      <c r="D17" s="41" t="str">
        <f>IF(预处理结果!D16="","",预处理结果!D16)</f>
        <v/>
      </c>
      <c r="E17" s="41">
        <f>预处理结果!M16</f>
        <v>39</v>
      </c>
    </row>
    <row r="18" spans="1:5">
      <c r="A18" s="26">
        <f>预处理结果!A17</f>
        <v>2023</v>
      </c>
      <c r="B18" s="41">
        <f>IF(预处理结果!B17="","",预处理结果!B17)</f>
        <v>2363</v>
      </c>
      <c r="C18" s="41">
        <f>预处理结果!K17</f>
        <v>2363</v>
      </c>
      <c r="D18" s="41">
        <f>IF(预处理结果!D17="","",预处理结果!D17)</f>
        <v>191.5</v>
      </c>
      <c r="E18" s="41">
        <f>预处理结果!M17</f>
        <v>191.5</v>
      </c>
    </row>
    <row r="19" spans="1:5">
      <c r="A19" s="26">
        <f>预处理结果!A18</f>
        <v>2024</v>
      </c>
      <c r="B19" s="41">
        <f>IF(预处理结果!B18="","",预处理结果!B18)</f>
        <v>2643</v>
      </c>
      <c r="C19" s="41">
        <f>预处理结果!K18</f>
        <v>2643</v>
      </c>
      <c r="D19" s="41">
        <f>IF(预处理结果!D18="","",预处理结果!D18)</f>
        <v>221</v>
      </c>
      <c r="E19" s="41">
        <f>预处理结果!M18</f>
        <v>221</v>
      </c>
    </row>
    <row r="20" spans="1:5">
      <c r="A20" s="27">
        <f>预处理结果!A19</f>
        <v>2025</v>
      </c>
      <c r="B20" s="42" t="str">
        <f>IF(预处理结果!B19="","",预处理结果!B19)</f>
        <v/>
      </c>
      <c r="C20" s="42">
        <f>预处理结果!K19</f>
        <v>2800</v>
      </c>
      <c r="D20" s="42" t="str">
        <f>IF(预处理结果!D19="","",预处理结果!D19)</f>
        <v/>
      </c>
      <c r="E20" s="42">
        <f>预处理结果!M19</f>
        <v>231</v>
      </c>
    </row>
  </sheetData>
  <mergeCells count="2">
    <mergeCell ref="A1:N1"/>
    <mergeCell ref="A2:N2"/>
  </mergeCells>
  <phoneticPr fontId="12" type="noConversion"/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4"/>
  <sheetViews>
    <sheetView showGridLines="0" topLeftCell="A13" workbookViewId="0">
      <selection activeCell="H1" sqref="H1"/>
    </sheetView>
  </sheetViews>
  <sheetFormatPr defaultRowHeight="13.8"/>
  <cols>
    <col min="1" max="2" width="34" customWidth="1"/>
    <col min="3" max="4" width="36" customWidth="1"/>
    <col min="5" max="5" width="52" customWidth="1"/>
    <col min="6" max="6" width="46" customWidth="1"/>
    <col min="7" max="7" width="35" customWidth="1"/>
  </cols>
  <sheetData>
    <row r="1" spans="1:7" ht="34.049999999999997" customHeight="1">
      <c r="A1" s="67" t="s">
        <v>305</v>
      </c>
      <c r="B1" s="68"/>
      <c r="C1" s="68"/>
      <c r="D1" s="68"/>
      <c r="E1" s="68"/>
      <c r="F1" s="68"/>
      <c r="G1" s="68"/>
    </row>
    <row r="2" spans="1:7" ht="37.950000000000003" customHeight="1">
      <c r="A2" s="82" t="s">
        <v>306</v>
      </c>
      <c r="B2" s="82"/>
      <c r="C2" s="82"/>
      <c r="D2" s="82"/>
      <c r="E2" s="82"/>
      <c r="F2" s="82"/>
      <c r="G2" s="82"/>
    </row>
    <row r="4" spans="1:7">
      <c r="A4" s="22" t="s">
        <v>307</v>
      </c>
      <c r="B4" s="23" t="s">
        <v>308</v>
      </c>
      <c r="C4" s="23" t="s">
        <v>309</v>
      </c>
      <c r="D4" s="23" t="s">
        <v>310</v>
      </c>
      <c r="E4" s="23" t="s">
        <v>311</v>
      </c>
      <c r="F4" s="23" t="s">
        <v>312</v>
      </c>
      <c r="G4" s="24" t="s">
        <v>313</v>
      </c>
    </row>
    <row r="5" spans="1:7" ht="91.95" customHeight="1">
      <c r="A5" s="25" t="s">
        <v>314</v>
      </c>
      <c r="B5" s="25" t="s">
        <v>315</v>
      </c>
      <c r="C5" s="25" t="s">
        <v>316</v>
      </c>
      <c r="D5" s="25" t="s">
        <v>317</v>
      </c>
      <c r="E5" s="25" t="s">
        <v>318</v>
      </c>
      <c r="F5" s="25" t="s">
        <v>319</v>
      </c>
      <c r="G5" s="25" t="s">
        <v>320</v>
      </c>
    </row>
    <row r="6" spans="1:7" ht="91.95" customHeight="1">
      <c r="A6" s="26" t="s">
        <v>314</v>
      </c>
      <c r="B6" s="26" t="s">
        <v>321</v>
      </c>
      <c r="C6" s="26" t="s">
        <v>322</v>
      </c>
      <c r="D6" s="26" t="s">
        <v>323</v>
      </c>
      <c r="E6" s="26" t="s">
        <v>324</v>
      </c>
      <c r="F6" s="26" t="s">
        <v>325</v>
      </c>
      <c r="G6" s="26" t="s">
        <v>326</v>
      </c>
    </row>
    <row r="7" spans="1:7" ht="91.95" customHeight="1">
      <c r="A7" s="26" t="s">
        <v>314</v>
      </c>
      <c r="B7" s="26" t="s">
        <v>327</v>
      </c>
      <c r="C7" s="26" t="s">
        <v>328</v>
      </c>
      <c r="D7" s="26" t="s">
        <v>329</v>
      </c>
      <c r="E7" s="26" t="s">
        <v>330</v>
      </c>
      <c r="F7" s="26" t="s">
        <v>331</v>
      </c>
      <c r="G7" s="26" t="s">
        <v>332</v>
      </c>
    </row>
    <row r="8" spans="1:7" ht="91.95" customHeight="1">
      <c r="A8" s="26" t="s">
        <v>314</v>
      </c>
      <c r="B8" s="26" t="s">
        <v>333</v>
      </c>
      <c r="C8" s="26" t="s">
        <v>334</v>
      </c>
      <c r="D8" s="26" t="s">
        <v>335</v>
      </c>
      <c r="E8" s="26" t="s">
        <v>336</v>
      </c>
      <c r="F8" s="26" t="s">
        <v>337</v>
      </c>
      <c r="G8" s="26" t="s">
        <v>338</v>
      </c>
    </row>
    <row r="9" spans="1:7" ht="91.95" customHeight="1">
      <c r="A9" s="26" t="s">
        <v>339</v>
      </c>
      <c r="B9" s="26" t="s">
        <v>340</v>
      </c>
      <c r="C9" s="26" t="s">
        <v>341</v>
      </c>
      <c r="D9" s="26" t="s">
        <v>342</v>
      </c>
      <c r="E9" s="26" t="s">
        <v>343</v>
      </c>
      <c r="F9" s="26" t="s">
        <v>344</v>
      </c>
      <c r="G9" s="26" t="s">
        <v>345</v>
      </c>
    </row>
    <row r="10" spans="1:7" ht="91.95" customHeight="1">
      <c r="A10" s="27" t="s">
        <v>339</v>
      </c>
      <c r="B10" s="27" t="s">
        <v>346</v>
      </c>
      <c r="C10" s="27" t="s">
        <v>347</v>
      </c>
      <c r="D10" s="27" t="s">
        <v>348</v>
      </c>
      <c r="E10" s="27" t="s">
        <v>349</v>
      </c>
      <c r="F10" s="27" t="s">
        <v>350</v>
      </c>
      <c r="G10" s="27" t="s">
        <v>351</v>
      </c>
    </row>
    <row r="13" spans="1:7" ht="15.6">
      <c r="A13" s="70" t="s">
        <v>352</v>
      </c>
      <c r="B13" s="68"/>
      <c r="C13" s="68"/>
      <c r="D13" s="68"/>
      <c r="E13" s="68"/>
      <c r="F13" s="68"/>
      <c r="G13" s="68"/>
    </row>
    <row r="14" spans="1:7">
      <c r="A14" s="22" t="s">
        <v>353</v>
      </c>
      <c r="B14" s="23" t="s">
        <v>190</v>
      </c>
      <c r="C14" s="23" t="s">
        <v>354</v>
      </c>
      <c r="D14" s="23" t="s">
        <v>355</v>
      </c>
      <c r="E14" s="24" t="s">
        <v>356</v>
      </c>
    </row>
    <row r="15" spans="1:7" ht="34.049999999999997" customHeight="1">
      <c r="A15" s="25" t="s">
        <v>357</v>
      </c>
      <c r="B15" s="25" t="s">
        <v>358</v>
      </c>
      <c r="C15" s="28">
        <v>8</v>
      </c>
      <c r="D15" s="28">
        <v>2017</v>
      </c>
      <c r="E15" s="28">
        <v>2025</v>
      </c>
    </row>
    <row r="16" spans="1:7" ht="34.049999999999997" customHeight="1">
      <c r="A16" s="26" t="s">
        <v>359</v>
      </c>
      <c r="B16" s="26" t="s">
        <v>360</v>
      </c>
      <c r="C16" s="29">
        <v>3</v>
      </c>
      <c r="D16" s="29">
        <v>2022</v>
      </c>
      <c r="E16" s="29">
        <v>2024</v>
      </c>
    </row>
    <row r="17" spans="1:5" ht="34.049999999999997" customHeight="1">
      <c r="A17" s="26" t="s">
        <v>361</v>
      </c>
      <c r="B17" s="26" t="s">
        <v>362</v>
      </c>
      <c r="C17" s="29">
        <v>4</v>
      </c>
      <c r="D17" s="29">
        <v>2014</v>
      </c>
      <c r="E17" s="29">
        <v>2017</v>
      </c>
    </row>
    <row r="18" spans="1:5" ht="34.049999999999997" customHeight="1">
      <c r="A18" s="26" t="s">
        <v>363</v>
      </c>
      <c r="B18" s="26" t="s">
        <v>362</v>
      </c>
      <c r="C18" s="29">
        <v>6</v>
      </c>
      <c r="D18" s="29">
        <v>2020</v>
      </c>
      <c r="E18" s="29">
        <v>2025</v>
      </c>
    </row>
    <row r="19" spans="1:5" ht="34.049999999999997" customHeight="1">
      <c r="A19" s="26" t="s">
        <v>364</v>
      </c>
      <c r="B19" s="26" t="s">
        <v>365</v>
      </c>
      <c r="C19" s="29">
        <v>1</v>
      </c>
      <c r="D19" s="29">
        <v>2019</v>
      </c>
      <c r="E19" s="29">
        <v>2019</v>
      </c>
    </row>
    <row r="20" spans="1:5" ht="34.049999999999997" customHeight="1">
      <c r="A20" s="26" t="s">
        <v>366</v>
      </c>
      <c r="B20" s="26" t="s">
        <v>367</v>
      </c>
      <c r="C20" s="29">
        <v>1</v>
      </c>
      <c r="D20" s="29">
        <v>2019</v>
      </c>
      <c r="E20" s="29">
        <v>2019</v>
      </c>
    </row>
    <row r="21" spans="1:5" ht="34.049999999999997" customHeight="1">
      <c r="A21" s="26" t="s">
        <v>368</v>
      </c>
      <c r="B21" s="26" t="s">
        <v>358</v>
      </c>
      <c r="C21" s="29">
        <v>2</v>
      </c>
      <c r="D21" s="29">
        <v>2016</v>
      </c>
      <c r="E21" s="29">
        <v>2017</v>
      </c>
    </row>
    <row r="22" spans="1:5" ht="34.049999999999997" customHeight="1">
      <c r="A22" s="26" t="s">
        <v>369</v>
      </c>
      <c r="B22" s="26" t="s">
        <v>362</v>
      </c>
      <c r="C22" s="29">
        <v>9</v>
      </c>
      <c r="D22" s="29">
        <v>2014</v>
      </c>
      <c r="E22" s="29">
        <v>2025</v>
      </c>
    </row>
    <row r="23" spans="1:5" ht="34.049999999999997" customHeight="1">
      <c r="A23" s="26" t="s">
        <v>370</v>
      </c>
      <c r="B23" s="26" t="s">
        <v>371</v>
      </c>
      <c r="C23" s="29">
        <v>1</v>
      </c>
      <c r="D23" s="29">
        <v>2020</v>
      </c>
      <c r="E23" s="29">
        <v>2020</v>
      </c>
    </row>
    <row r="24" spans="1:5" ht="34.049999999999997" customHeight="1">
      <c r="A24" s="27" t="s">
        <v>372</v>
      </c>
      <c r="B24" s="27" t="s">
        <v>358</v>
      </c>
      <c r="C24" s="39">
        <v>2</v>
      </c>
      <c r="D24" s="39">
        <v>2016</v>
      </c>
      <c r="E24" s="39">
        <v>2017</v>
      </c>
    </row>
  </sheetData>
  <mergeCells count="3">
    <mergeCell ref="A1:G1"/>
    <mergeCell ref="A2:G2"/>
    <mergeCell ref="A13:G13"/>
  </mergeCells>
  <phoneticPr fontId="12" type="noConversion"/>
  <conditionalFormatting sqref="A5:A10">
    <cfRule type="containsText" dxfId="1" priority="1" operator="containsText" text="必须"/>
    <cfRule type="containsText" dxfId="0" priority="2" operator="containsText" text="可选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使用说明</vt:lpstr>
      <vt:lpstr>模型选择</vt:lpstr>
      <vt:lpstr>模型流程</vt:lpstr>
      <vt:lpstr>原始年度数据</vt:lpstr>
      <vt:lpstr>补充假设</vt:lpstr>
      <vt:lpstr>预处理结果</vt:lpstr>
      <vt:lpstr>异常检测</vt:lpstr>
      <vt:lpstr>趋势图</vt:lpstr>
      <vt:lpstr>数据补充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志烨 邱</cp:lastModifiedBy>
  <dcterms:modified xsi:type="dcterms:W3CDTF">2026-08-17T13:52:58Z</dcterms:modified>
</cp:coreProperties>
</file>