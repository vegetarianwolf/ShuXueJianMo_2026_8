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5a543836e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数据集" sheetId="1" r:id="R6394e5521f164776"/>
    <x:sheet xmlns:r="http://schemas.openxmlformats.org/officeDocument/2006/relationships" name="来源与口径" sheetId="2" r:id="Rcb56bae269c2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385723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F2F8EE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right" vertical="top" wrapText="1"/>
    </x:xf>
    <x:xf numFmtId="200" fontId="0" fillId="0" borderId="4" xfId="0" applyNumberFormat="1" applyFont="1" applyFill="1" applyBorder="1" applyAlignment="1">
      <x:alignment horizontal="right" vertical="top" wrapText="1"/>
    </x:xf>
    <x:xf numFmtId="201" fontId="0" fillId="0" borderId="4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5" fillId="6" borderId="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6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3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0fa9526c54f23" /><Relationship Type="http://schemas.openxmlformats.org/officeDocument/2006/relationships/theme" Target="/xl/theme/theme1.xml" Id="R546be584a6014800" /><Relationship Type="http://schemas.openxmlformats.org/officeDocument/2006/relationships/sharedStrings" Target="/xl/sharedStrings.xml" Id="Ra7872d00372a400a" /><Relationship Type="http://schemas.openxmlformats.org/officeDocument/2006/relationships/worksheet" Target="/xl/worksheets/sheet1.xml" Id="R6394e5521f164776" /><Relationship Type="http://schemas.openxmlformats.org/officeDocument/2006/relationships/worksheet" Target="/xl/worksheets/sheet2.xml" Id="Rcb56bae269c243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61606db0cc47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蓟州区GDP（历史数据含口径断点）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GDP（亿元）</c:v>
          </c:tx>
          <c:marker>
            <c:symbol val="none"/>
          </c:marker>
          <c:cat>
            <c:strRef>
              <c:f>'年度数据集'!$K$9:$K$24</c:f>
              <c:strCache>
                <c:ptCount val="0"/>
              </c:strCache>
            </c:strRef>
          </c:cat>
          <c:val>
            <c:numRef>
              <c:f>'年度数据集'!$L$9:$L$24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61606db0cc47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86b73a292d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5" hidden="0" customWidth="1"/>
    <x:col min="7" max="7" width="16" hidden="0" customWidth="1"/>
    <x:col min="8" max="8" width="42" hidden="0" customWidth="1"/>
    <x:col min="9" max="9" width="68" hidden="0" customWidth="1"/>
    <x:col min="11" max="11" width="15" hidden="0" customWidth="1"/>
    <x:col min="12" max="12" width="16" hidden="0" customWidth="1"/>
  </x:cols>
  <x:sheetData>
    <x:row r="1" ht="28" customHeight="1">
      <x:c r="A1" s="4" t="str">
        <x:v>蓟州区旅游经济与相关年度数据集（2010–2025年）</x:v>
      </x:c>
      <x:c r="B1" s="4"/>
      <x:c r="C1" s="4"/>
      <x:c r="D1" s="4"/>
      <x:c r="E1" s="4"/>
      <x:c r="F1" s="4"/>
      <x:c r="G1" s="4"/>
      <x:c r="H1" s="4"/>
      <x:c r="I1" s="4"/>
      <x:c r="K1" s="29" t="str">
        <x:v>数据覆盖</x:v>
      </x:c>
      <x:c r="L1" s="29"/>
      <x:c r="M1" s="29"/>
    </x:row>
    <x:row r="2" ht="34" customHeight="1">
      <x:c r="A2" s="8" t="str">
        <x:v>单位：游客接待量为万人次；旅游综合收入、GDP、第三产业增加值均为亿元。空白值表示未获得可核验的全年实际值，未作插补。</x:v>
      </x:c>
      <x:c r="B2" s="8"/>
      <x:c r="C2" s="8"/>
      <x:c r="D2" s="8"/>
      <x:c r="E2" s="8"/>
      <x:c r="F2" s="8"/>
      <x:c r="G2" s="8"/>
      <x:c r="H2" s="8"/>
      <x:c r="I2" s="8"/>
      <x:c r="K2" s="32" t="str">
        <x:v>年份范围</x:v>
      </x:c>
      <x:c r="L2" s="31" t="str">
        <x:v>2010–2025</x:v>
      </x:c>
    </x:row>
    <x:row r="3">
      <x:c r="K3" s="32" t="str">
        <x:v>旅游接待量</x:v>
      </x:c>
      <x:c r="L3" s="31" t="n">
        <x:v>9</x:v>
      </x:c>
    </x:row>
    <x:row r="4">
      <x:c r="A4" s="17" t="str">
        <x:v>年份</x:v>
      </x:c>
      <x:c r="B4" s="18" t="str">
        <x:v>旅游接待量（万人次）</x:v>
      </x:c>
      <x:c r="C4" s="18" t="str">
        <x:v>旅游综合收入（亿元）</x:v>
      </x:c>
      <x:c r="D4" s="18" t="str">
        <x:v>GDP（亿元）</x:v>
      </x:c>
      <x:c r="E4" s="18" t="str">
        <x:v>第三产业增加值（亿元）</x:v>
      </x:c>
      <x:c r="F4" s="18" t="str">
        <x:v>旅游收入/GDP</x:v>
      </x:c>
      <x:c r="G4" s="18" t="str">
        <x:v>统计口径</x:v>
      </x:c>
      <x:c r="H4" s="18" t="str">
        <x:v>数据说明</x:v>
      </x:c>
      <x:c r="I4" s="19" t="str">
        <x:v>来源链接</x:v>
      </x:c>
      <x:c r="K4" s="32" t="str">
        <x:v>旅游综合收入</x:v>
      </x:c>
      <x:c r="L4" s="31" t="n">
        <x:v>8</x:v>
      </x:c>
    </x:row>
    <x:row r="5">
      <x:c r="A5" s="23" t="n">
        <x:v>2010</x:v>
      </x:c>
      <x:c r="B5" s="25" t="n">
        <x:v>848</x:v>
      </x:c>
      <x:c r="C5" s="25"/>
      <x:c r="D5" s="25" t="n">
        <x:v>209.3</x:v>
      </x:c>
      <x:c r="E5" s="25"/>
      <x:c r="F5" s="26" t="str">
        <x:f>IF(COUNT(C5,D5)=2,C5/D5,"")</x:f>
      </x:c>
      <x:c r="G5" s="22" t="str">
        <x:v>早期口径</x:v>
      </x:c>
      <x:c r="H5" s="22" t="str">
        <x:v>游客数为官方工作报告；宏观数据为历史发布值</x:v>
      </x:c>
      <x:c r="I5" s="22" t="str">
        <x:v>https://www.tjjz.gov.cn/zwgk/ZFGZBG_20201207/202012/t20201227_5202964.html</x:v>
      </x:c>
      <x:c r="K5" s="32" t="str">
        <x:v>GDP</x:v>
      </x:c>
      <x:c r="L5" s="31" t="n">
        <x:v>12</x:v>
      </x:c>
    </x:row>
    <x:row r="6">
      <x:c r="A6" s="23" t="n">
        <x:v>2011</x:v>
      </x:c>
      <x:c r="B6" s="25"/>
      <x:c r="C6" s="25"/>
      <x:c r="D6" s="25" t="n">
        <x:v>264.5</x:v>
      </x:c>
      <x:c r="E6" s="25" t="n">
        <x:v>165</x:v>
      </x:c>
      <x:c r="F6" s="26" t="str">
        <x:f>IF(COUNT(C6,D6)=2,C6/D6,"")</x:f>
      </x:c>
      <x:c r="G6" s="22" t="str">
        <x:v>早期口径</x:v>
      </x:c>
      <x:c r="H6" s="22" t="str">
        <x:v>官方统计公报</x:v>
      </x:c>
      <x:c r="I6" s="22" t="str">
        <x:v>https://www.tjjz.gov.cn/zwgk/zfxxgkqjjg/tjj1/fdzdgknr34/tjxx34/202012/t20201227_5212509.html</x:v>
      </x:c>
      <x:c r="K6" s="32" t="str">
        <x:v>第三产业增加值</x:v>
      </x:c>
      <x:c r="L6" s="31" t="n">
        <x:v>11</x:v>
      </x:c>
    </x:row>
    <x:row r="7">
      <x:c r="A7" s="23" t="n">
        <x:v>2012</x:v>
      </x:c>
      <x:c r="B7" s="25" t="n">
        <x:v>1155.8</x:v>
      </x:c>
      <x:c r="C7" s="25" t="n">
        <x:v>52.8</x:v>
      </x:c>
      <x:c r="D7" s="25" t="n">
        <x:v>283.67</x:v>
      </x:c>
      <x:c r="E7" s="25"/>
      <x:c r="F7" s="26" t="n">
        <x:f>IF(COUNT(C7,D7)=2,C7/D7,"")</x:f>
        <x:v>0.18613177283463178</x:v>
      </x:c>
      <x:c r="G7" s="22" t="str">
        <x:v>早期口径</x:v>
      </x:c>
      <x:c r="H7" s="22" t="str">
        <x:v>旅游与GDP来自信用评级报告转引的官方统计资料</x:v>
      </x:c>
      <x:c r="I7" s="22" t="str">
        <x:v>https://www.cspengyuan.com/api/files/69607a90be22fa0776b91bbd</x:v>
      </x:c>
    </x:row>
    <x:row r="8">
      <x:c r="A8" s="23" t="n">
        <x:v>2013</x:v>
      </x:c>
      <x:c r="B8" s="25" t="n">
        <x:v>1295</x:v>
      </x:c>
      <x:c r="C8" s="25" t="n">
        <x:v>63.2</x:v>
      </x:c>
      <x:c r="D8" s="25"/>
      <x:c r="E8" s="25"/>
      <x:c r="F8" s="26" t="str">
        <x:f>IF(COUNT(C8,D8)=2,C8/D8,"")</x:f>
      </x:c>
      <x:c r="G8" s="22" t="str">
        <x:v>早期口径</x:v>
      </x:c>
      <x:c r="H8" s="22" t="str">
        <x:v>官方旅游工作总结</x:v>
      </x:c>
      <x:c r="I8" s="22" t="str">
        <x:v>https://www.tjjz.gov.cn/zwgk/zcwj/qjwj/qjjg/whhlyj2/202012/t20201227_5212681.html</x:v>
      </x:c>
      <x:c r="K8" s="36" t="str">
        <x:v>年份</x:v>
      </x:c>
      <x:c r="L8" s="36" t="str">
        <x:v>GDP（亿元）</x:v>
      </x:c>
    </x:row>
    <x:row r="9">
      <x:c r="A9" s="23" t="n">
        <x:v>2014</x:v>
      </x:c>
      <x:c r="B9" s="25" t="n">
        <x:v>1554</x:v>
      </x:c>
      <x:c r="C9" s="25" t="n">
        <x:v>79</x:v>
      </x:c>
      <x:c r="D9" s="25"/>
      <x:c r="E9" s="25"/>
      <x:c r="F9" s="26" t="str">
        <x:f>IF(COUNT(C9,D9)=2,C9/D9,"")</x:f>
      </x:c>
      <x:c r="G9" s="22" t="str">
        <x:v>早期口径</x:v>
      </x:c>
      <x:c r="H9" s="22" t="str">
        <x:v>官方政府工作报告</x:v>
      </x:c>
      <x:c r="I9" s="22" t="str">
        <x:v>https://www.tjjz.gov.cn/zwgk/ZFGZBG_20201207/202012/t20201227_5203044.html</x:v>
      </x:c>
      <x:c r="K9" s="37" t="n">
        <x:v>2010</x:v>
      </x:c>
      <x:c r="L9" s="38" t="n">
        <x:v>209.3</x:v>
      </x:c>
    </x:row>
    <x:row r="10">
      <x:c r="A10" s="23" t="n">
        <x:v>2015</x:v>
      </x:c>
      <x:c r="B10" s="25"/>
      <x:c r="C10" s="25"/>
      <x:c r="D10" s="25"/>
      <x:c r="E10" s="25"/>
      <x:c r="F10" s="26" t="str">
        <x:f>IF(COUNT(C10,D10)=2,C10/D10,"")</x:f>
      </x:c>
      <x:c r="G10" s="22" t="str">
        <x:v>缺口</x:v>
      </x:c>
      <x:c r="H10" s="22" t="str">
        <x:v>未找到可核验的全年实际旅游数据</x:v>
      </x:c>
      <x:c r="I10" s="22"/>
      <x:c r="K10" s="37" t="n">
        <x:v>2011</x:v>
      </x:c>
      <x:c r="L10" s="38" t="n">
        <x:v>264.5</x:v>
      </x:c>
    </x:row>
    <x:row r="11">
      <x:c r="A11" s="23" t="n">
        <x:v>2016</x:v>
      </x:c>
      <x:c r="B11" s="25"/>
      <x:c r="C11" s="25"/>
      <x:c r="D11" s="25" t="n">
        <x:v>422.98</x:v>
      </x:c>
      <x:c r="E11" s="25" t="n">
        <x:v>261.04</x:v>
      </x:c>
      <x:c r="F11" s="26" t="str">
        <x:f>IF(COUNT(C11,D11)=2,C11/D11,"")</x:f>
      </x:c>
      <x:c r="G11" s="22" t="str">
        <x:v>早期口径</x:v>
      </x:c>
      <x:c r="H11" s="22" t="str">
        <x:v>历史宏观序列（非现行修订口径）</x:v>
      </x:c>
      <x:c r="I11" s="22" t="str">
        <x:v>https://static.sse.com.cn/disclosure/bond/announcement/corporate/c/3280114389600158.pdf</x:v>
      </x:c>
      <x:c r="K11" s="37" t="n">
        <x:v>2012</x:v>
      </x:c>
      <x:c r="L11" s="38" t="n">
        <x:v>283.67</x:v>
      </x:c>
    </x:row>
    <x:row r="12">
      <x:c r="A12" s="23" t="n">
        <x:v>2017</x:v>
      </x:c>
      <x:c r="B12" s="25" t="n">
        <x:v>2400</x:v>
      </x:c>
      <x:c r="C12" s="25" t="n">
        <x:v>130</x:v>
      </x:c>
      <x:c r="D12" s="25" t="n">
        <x:v>397.07</x:v>
      </x:c>
      <x:c r="E12" s="25" t="n">
        <x:v>233.18</x:v>
      </x:c>
      <x:c r="F12" s="26" t="n">
        <x:f>IF(COUNT(C12,D12)=2,C12/D12,"")</x:f>
        <x:v>0.32739819175460244</x:v>
      </x:c>
      <x:c r="G12" s="22" t="str">
        <x:v>早期口径</x:v>
      </x:c>
      <x:c r="H12" s="22" t="str">
        <x:v>旅游数据为官方工作报告；宏观为历史序列</x:v>
      </x:c>
      <x:c r="I12" s="22" t="str">
        <x:v>https://www.tjjz.gov.cn/zwgk/ZFGZBG_20201207/202012/t20201227_5203142.html</x:v>
      </x:c>
      <x:c r="K12" s="37" t="n">
        <x:v>2013</x:v>
      </x:c>
      <x:c r="L12" s="38"/>
    </x:row>
    <x:row r="13">
      <x:c r="A13" s="23" t="n">
        <x:v>2018</x:v>
      </x:c>
      <x:c r="B13" s="25"/>
      <x:c r="C13" s="25"/>
      <x:c r="D13" s="25" t="n">
        <x:v>381.66</x:v>
      </x:c>
      <x:c r="E13" s="25" t="n">
        <x:v>234.32</x:v>
      </x:c>
      <x:c r="F13" s="26" t="str">
        <x:f>IF(COUNT(C13,D13)=2,C13/D13,"")</x:f>
      </x:c>
      <x:c r="G13" s="22" t="str">
        <x:v>早期口径</x:v>
      </x:c>
      <x:c r="H13" s="22" t="str">
        <x:v>历史宏观序列（非现行修订口径）</x:v>
      </x:c>
      <x:c r="I13" s="22" t="str">
        <x:v>https://www.zgcounty.com/wap/news/58800.html</x:v>
      </x:c>
      <x:c r="K13" s="37" t="n">
        <x:v>2014</x:v>
      </x:c>
      <x:c r="L13" s="38"/>
    </x:row>
    <x:row r="14">
      <x:c r="A14" s="23" t="n">
        <x:v>2019</x:v>
      </x:c>
      <x:c r="B14" s="25" t="n">
        <x:v>2800</x:v>
      </x:c>
      <x:c r="C14" s="25" t="n">
        <x:v>165</x:v>
      </x:c>
      <x:c r="D14" s="25" t="n">
        <x:v>210.8</x:v>
      </x:c>
      <x:c r="E14" s="25" t="n">
        <x:v>129.92</x:v>
      </x:c>
      <x:c r="F14" s="26" t="n">
        <x:f>IF(COUNT(C14,D14)=2,C14/D14,"")</x:f>
        <x:v>0.7827324478178368</x:v>
      </x:c>
      <x:c r="G14" s="22" t="str">
        <x:v>现行发布口径</x:v>
      </x:c>
      <x:c r="H14" s="22" t="str">
        <x:v>旅游为行业媒体引述区政府；GDP为官方统计公报</x:v>
      </x:c>
      <x:c r="I14" s="22" t="str">
        <x:v>https://www.ctnews.com.cn/paper/att/202006/16/eb44e1f2-58ee-46f2-8489-6aeabf85867f.pdf; https://www.tjjz.gov.cn/zwgk/zfxxgkqjjg/tjj1/fdzdgknr34/tjxx34/202107/t20210705_5495855.html</x:v>
      </x:c>
      <x:c r="K14" s="37" t="n">
        <x:v>2015</x:v>
      </x:c>
      <x:c r="L14" s="38"/>
    </x:row>
    <x:row r="15">
      <x:c r="A15" s="23" t="n">
        <x:v>2020</x:v>
      </x:c>
      <x:c r="B15" s="25"/>
      <x:c r="C15" s="25"/>
      <x:c r="D15" s="25" t="n">
        <x:v>224.6</x:v>
      </x:c>
      <x:c r="E15" s="25" t="n">
        <x:v>142.55</x:v>
      </x:c>
      <x:c r="F15" s="26" t="str">
        <x:f>IF(COUNT(C15,D15)=2,C15/D15,"")</x:f>
      </x:c>
      <x:c r="G15" s="22" t="str">
        <x:v>现行发布口径</x:v>
      </x:c>
      <x:c r="H15" s="22" t="str">
        <x:v>官方统计公报；旅游全年总量未找到</x:v>
      </x:c>
      <x:c r="I15" s="22" t="str">
        <x:v>https://www.tjjz.gov.cn/zwgk/zfxxgkqjjg/tjj1/fdzdgknr34/tjxx34/202111/t20211115_5703949.html</x:v>
      </x:c>
      <x:c r="K15" s="37" t="n">
        <x:v>2016</x:v>
      </x:c>
      <x:c r="L15" s="38" t="n">
        <x:v>422.98</x:v>
      </x:c>
    </x:row>
    <x:row r="16">
      <x:c r="A16" s="23" t="n">
        <x:v>2021</x:v>
      </x:c>
      <x:c r="B16" s="25"/>
      <x:c r="C16" s="25" t="n">
        <x:v>110</x:v>
      </x:c>
      <x:c r="D16" s="25" t="n">
        <x:v>250.4</x:v>
      </x:c>
      <x:c r="E16" s="25" t="n">
        <x:v>151.52</x:v>
      </x:c>
      <x:c r="F16" s="26" t="n">
        <x:f>IF(COUNT(C16,D16)=2,C16/D16,"")</x:f>
        <x:v>0.43929712460063897</x:v>
      </x:c>
      <x:c r="G16" s="22" t="str">
        <x:v>现行发布口径</x:v>
      </x:c>
      <x:c r="H16" s="22" t="str">
        <x:v>旅游综合收入来自官方政府工作报告；游客量未找到</x:v>
      </x:c>
      <x:c r="I16" s="22" t="str">
        <x:v>https://www.tjjz.gov.cn/zwgk/sjfb/tjgb/202211/t20221128_6044247.html; https://www.tjjz.gov.cn/zwgk/ZFGZBG_20201207/202112/t20211227_5762428.html</x:v>
      </x:c>
      <x:c r="K16" s="37" t="n">
        <x:v>2017</x:v>
      </x:c>
      <x:c r="L16" s="38" t="n">
        <x:v>397.07</x:v>
      </x:c>
    </x:row>
    <x:row r="17">
      <x:c r="A17" s="23" t="n">
        <x:v>2022</x:v>
      </x:c>
      <x:c r="B17" s="25"/>
      <x:c r="C17" s="25"/>
      <x:c r="D17" s="25" t="n">
        <x:v>279.33</x:v>
      </x:c>
      <x:c r="E17" s="25" t="n">
        <x:v>164.78</x:v>
      </x:c>
      <x:c r="F17" s="26" t="str">
        <x:f>IF(COUNT(C17,D17)=2,C17/D17,"")</x:f>
      </x:c>
      <x:c r="G17" s="22" t="str">
        <x:v>现行发布口径</x:v>
      </x:c>
      <x:c r="H17" s="22" t="str">
        <x:v>官方统计公报；旅游全年总量未找到</x:v>
      </x:c>
      <x:c r="I17" s="22" t="str">
        <x:v>https://www.tjjz.gov.cn/zwgk/sjfb/tjgb/202311/t20231107_6450006.html</x:v>
      </x:c>
      <x:c r="K17" s="37" t="n">
        <x:v>2018</x:v>
      </x:c>
      <x:c r="L17" s="38" t="n">
        <x:v>381.66</x:v>
      </x:c>
    </x:row>
    <x:row r="18">
      <x:c r="A18" s="23" t="n">
        <x:v>2023</x:v>
      </x:c>
      <x:c r="B18" s="25" t="n">
        <x:v>2363</x:v>
      </x:c>
      <x:c r="C18" s="25" t="n">
        <x:v>191.5</x:v>
      </x:c>
      <x:c r="D18" s="25" t="n">
        <x:v>287.46</x:v>
      </x:c>
      <x:c r="E18" s="25" t="n">
        <x:v>179.87</x:v>
      </x:c>
      <x:c r="F18" s="26" t="n">
        <x:f>IF(COUNT(C18,D18)=2,C18/D18,"")</x:f>
        <x:v>0.6661796423850276</x:v>
      </x:c>
      <x:c r="G18" s="22" t="str">
        <x:v>现行发布口径</x:v>
      </x:c>
      <x:c r="H18" s="22" t="str">
        <x:v>旅游与宏观数据均有官方来源</x:v>
      </x:c>
      <x:c r="I18" s="22" t="str">
        <x:v>https://www.tjjz.gov.cn/zwgk/ZFGZBG_20201207/202401/t20240130_6524881.html; https://www.tjjz.gov.cn/zwgk/zfxxgkqjjg/tjj1/fdzdgknr34/tjxx34/202406/t20240627_6662772.html</x:v>
      </x:c>
      <x:c r="K18" s="37" t="n">
        <x:v>2019</x:v>
      </x:c>
      <x:c r="L18" s="38" t="n">
        <x:v>210.8</x:v>
      </x:c>
    </x:row>
    <x:row r="19">
      <x:c r="A19" s="23" t="n">
        <x:v>2024</x:v>
      </x:c>
      <x:c r="B19" s="25" t="n">
        <x:v>2643</x:v>
      </x:c>
      <x:c r="C19" s="25" t="n">
        <x:v>221</x:v>
      </x:c>
      <x:c r="D19" s="25" t="n">
        <x:v>298.87</x:v>
      </x:c>
      <x:c r="E19" s="25" t="n">
        <x:v>183.97</x:v>
      </x:c>
      <x:c r="F19" s="26" t="n">
        <x:f>IF(COUNT(C19,D19)=2,C19/D19,"")</x:f>
        <x:v>0.7394519356241844</x:v>
      </x:c>
      <x:c r="G19" s="22" t="str">
        <x:v>现行发布口径</x:v>
      </x:c>
      <x:c r="H19" s="22" t="str">
        <x:v>旅游数据为官方工作报告；宏观数据为官方月报/年鉴</x:v>
      </x:c>
      <x:c r="I19" s="22" t="str">
        <x:v>https://www.tjjz.gov.cn/zwgk/ZFGZBG_20201207/202501/t20250114_6833334.html; https://www.tjjz.gov.cn/zwgk/sjfb/tjyb/202501/t20250123_6842681.html</x:v>
      </x:c>
      <x:c r="K19" s="37" t="n">
        <x:v>2020</x:v>
      </x:c>
      <x:c r="L19" s="38" t="n">
        <x:v>224.6</x:v>
      </x:c>
    </x:row>
    <x:row r="20">
      <x:c r="A20" s="23" t="n">
        <x:v>2025</x:v>
      </x:c>
      <x:c r="B20" s="25" t="n">
        <x:v>2691</x:v>
      </x:c>
      <x:c r="C20" s="25"/>
      <x:c r="D20" s="25" t="n">
        <x:v>311.94</x:v>
      </x:c>
      <x:c r="E20" s="25" t="n">
        <x:v>195.17</x:v>
      </x:c>
      <x:c r="F20" s="26" t="str">
        <x:f>IF(COUNT(C20,D20)=2,C20/D20,"")</x:f>
      </x:c>
      <x:c r="G20" s="22" t="str">
        <x:v>现行发布口径</x:v>
      </x:c>
      <x:c r="H20" s="22" t="str">
        <x:v>游客量为媒体报道；旅游收入仅报道为“突破200亿元”，不录入精确数</x:v>
      </x:c>
      <x:c r="I20" s="22" t="str">
        <x:v>https://www.itbear.com.cn/html/2026-04/1271544.html; https://www.tjjz.gov.cn/zwgk/sjfb/tjyb/202601/t20260126_7231333.html</x:v>
      </x:c>
      <x:c r="K20" s="37" t="n">
        <x:v>2021</x:v>
      </x:c>
      <x:c r="L20" s="38" t="n">
        <x:v>250.4</x:v>
      </x:c>
    </x:row>
    <x:row r="21">
      <x:c r="K21" s="37" t="n">
        <x:v>2022</x:v>
      </x:c>
      <x:c r="L21" s="38" t="n">
        <x:v>279.33</x:v>
      </x:c>
    </x:row>
    <x:row r="22">
      <x:c r="K22" s="37" t="n">
        <x:v>2023</x:v>
      </x:c>
      <x:c r="L22" s="38" t="n">
        <x:v>287.46</x:v>
      </x:c>
    </x:row>
    <x:row r="23">
      <x:c r="K23" s="37" t="n">
        <x:v>2024</x:v>
      </x:c>
      <x:c r="L23" s="38" t="n">
        <x:v>298.87</x:v>
      </x:c>
    </x:row>
    <x:row r="24">
      <x:c r="K24" s="37" t="n">
        <x:v>2025</x:v>
      </x:c>
      <x:c r="L24" s="38" t="n">
        <x:v>311.94</x:v>
      </x:c>
    </x:row>
  </x:sheetData>
  <x:mergeCells>
    <x:mergeCell ref="A1:I1"/>
    <x:mergeCell ref="A2:I2"/>
    <x:mergeCell ref="K1:M1"/>
  </x:mergeCells>
  <x:conditionalFormatting sqref="G5:G20">
    <x:cfRule type="containsText" dxfId="0" priority="1" operator="containsText" text="缺口"/>
    <x:cfRule type="containsText" dxfId="1" priority="2" operator="containsText" text="早期"/>
  </x:conditionalFormatting>
  <x:pageMargins left="0.7" right="0.7" top="0.75" bottom="0.75" header="0.3" footer="0.3"/>
  <x:drawing xmlns:r="http://schemas.openxmlformats.org/officeDocument/2006/relationships" r:id="Rf786b73a292d41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76" hidden="0" customWidth="1"/>
    <x:col min="4" max="4" width="40" hidden="0" customWidth="1"/>
  </x:cols>
  <x:sheetData>
    <x:row r="1" ht="28" customHeight="1">
      <x:c r="A1" s="4" t="str">
        <x:v>来源、口径与使用建议</x:v>
      </x:c>
      <x:c r="B1" s="4"/>
      <x:c r="C1" s="4"/>
      <x:c r="D1" s="4"/>
    </x:row>
    <x:row r="3">
      <x:c r="A3" s="39" t="str">
        <x:v>项目</x:v>
      </x:c>
      <x:c r="B3" s="39" t="str">
        <x:v>说明</x:v>
      </x:c>
      <x:c r="C3" s="39" t="str">
        <x:v>来源链接</x:v>
      </x:c>
      <x:c r="D3" s="39" t="str">
        <x:v>质量/使用提示</x:v>
      </x:c>
    </x:row>
    <x:row r="4" ht="100" customHeight="1">
      <x:c r="A4" s="22" t="str">
        <x:v>旅游数据（2010–2014）</x:v>
      </x:c>
      <x:c r="B4" s="22" t="str">
        <x:v>政府工作报告、旅游工作总结与转引官方统计资料</x:v>
      </x:c>
      <x:c r="C4" s="22" t="str">
        <x:v>https://www.tjjz.gov.cn/zwgk/ZFGZBG_20201207/202012/t20201227_5202964.html; https://www.cspengyuan.com/api/files/69607a90be22fa0776b91bbd; https://www.tjjz.gov.cn/zwgk/zcwj/qjwj/qjjg/whhlyj2/202012/t20201227_5212681.html; https://www.tjjz.gov.cn/zwgk/ZFGZBG_20201207/202012/t20201227_5203044.html</x:v>
      </x:c>
      <x:c r="D4" s="22" t="str">
        <x:v>可用于描述旅游发展；个别年份缺少完整指标。</x:v>
      </x:c>
    </x:row>
    <x:row r="5" ht="100" customHeight="1">
      <x:c r="A5" s="22" t="str">
        <x:v>旅游数据（2017、2019）</x:v>
      </x:c>
      <x:c r="B5" s="22" t="str">
        <x:v>政府工作报告及行业媒体引述区政府信息</x:v>
      </x:c>
      <x:c r="C5" s="22" t="str">
        <x:v>https://www.tjjz.gov.cn/zwgk/ZFGZBG_20201207/202012/t20201227_5203142.html; https://www.ctnews.com.cn/paper/att/202006/16/eb44e1f2-58ee-46f2-8489-6aeabf85867f.pdf</x:v>
      </x:c>
      <x:c r="D5" s="22" t="str">
        <x:v>2019 年来源非区政府网站，建议论文定稿前二次核验。</x:v>
      </x:c>
    </x:row>
    <x:row r="6" ht="100" customHeight="1">
      <x:c r="A6" s="22" t="str">
        <x:v>旅游数据（2023–2024）</x:v>
      </x:c>
      <x:c r="B6" s="22" t="str">
        <x:v>蓟州区政府工作报告</x:v>
      </x:c>
      <x:c r="C6" s="22" t="str">
        <x:v>https://www.tjjz.gov.cn/zwgk/ZFGZBG_20201207/202401/t20240130_6524881.html; https://www.tjjz.gov.cn/zwgk/ZFGZBG_20201207/202501/t20250114_6833334.html</x:v>
      </x:c>
      <x:c r="D6" s="22" t="str">
        <x:v>优先使用。</x:v>
      </x:c>
    </x:row>
    <x:row r="7" ht="100" customHeight="1">
      <x:c r="A7" s="22" t="str">
        <x:v>旅游数据（2025）</x:v>
      </x:c>
      <x:c r="B7" s="22" t="str">
        <x:v>媒体报道</x:v>
      </x:c>
      <x:c r="C7" s="22" t="str">
        <x:v>https://www.itbear.com.cn/html/2026-04/1271544.html</x:v>
      </x:c>
      <x:c r="D7" s="22" t="str">
        <x:v>游客量2691万人次；收入仅“突破200亿元”，未录精确值。</x:v>
      </x:c>
    </x:row>
    <x:row r="8" ht="100" customHeight="1">
      <x:c r="A8" s="22" t="str">
        <x:v>宏观数据（2010–2018）</x:v>
      </x:c>
      <x:c r="B8" s="22" t="str">
        <x:v>历史发布/信用评级报告中的区级宏观序列</x:v>
      </x:c>
      <x:c r="C8" s="22" t="str">
        <x:v>https://www.tjjz.gov.cn/zwgk/ZFGZBG_20201207/202012/t20201227_5202964.html; https://www.tjjz.gov.cn/zwgk/zfxxgkqjjg/tjj1/fdzdgknr34/tjxx34/202012/t20201227_5212509.html; https://www.cspengyuan.com/api/files/69607a90be22fa0776b91bbd</x:v>
      </x:c>
      <x:c r="D8" s="22" t="str">
        <x:v>与2019年后现行发布口径不连续，禁止跨断点直接计算增长率。</x:v>
      </x:c>
    </x:row>
    <x:row r="9" ht="100" customHeight="1">
      <x:c r="A9" s="22" t="str">
        <x:v>宏观数据（2019–2025）</x:v>
      </x:c>
      <x:c r="B9" s="22" t="str">
        <x:v>蓟州区统计局统计公报、月报和年鉴</x:v>
      </x:c>
      <x:c r="C9" s="22" t="str">
        <x:v>https://www.tjjz.gov.cn/zwgk/zfxxgkqjjg/tjj1/fdzdgknr34/tjxx34/202107/t20210705_5495855.html; https://www.tjjz.gov.cn/zwgk/zfxxgkqjjg/tjj1/fdzdgknr34/tjxx34/202111/t20211115_5703949.html; https://www.tjjz.gov.cn/zwgk/sjfb/tjgb/202211/t20221128_6044247.html; https://www.tjjz.gov.cn/zwgk/sjfb/tjgb/202311/t20231107_6450006.html; https://www.tjjz.gov.cn/zwgk/zfxxgkqjjg/tjj1/fdzdgknr34/tjxx34/202406/t20240627_6662772.html; https://www.tjjz.gov.cn/zwgk/sjfb/tjyb/202501/t20250123_6842681.html; https://www.tjjz.gov.cn/zwgk/sjfb/tjyb/202601/t20260126_7231333.html</x:v>
      </x:c>
      <x:c r="D9" s="22" t="str">
        <x:v>优先作为可比的近期建模样本。</x:v>
      </x:c>
    </x:row>
    <x:row r="10" ht="100" customHeight="1">
      <x:c r="A10" s="22" t="str">
        <x:v>口径断点</x:v>
      </x:c>
      <x:c r="B10" s="22" t="str">
        <x:v>2018→2019 年GDP和第三产业增加值存在显著跳变</x:v>
      </x:c>
      <x:c r="C10" s="22" t="str">
        <x:v>参见年度数据集的来源链接</x:v>
      </x:c>
      <x:c r="D10" s="22" t="str">
        <x:v>可能与核算范围/经济普查修订有关；本工作簿保留原始发布值而不自行修订。</x:v>
      </x:c>
    </x:row>
    <x:row r="12" ht="44" customHeight="1">
      <x:c r="A12" s="48" t="str">
        <x:v>建议：用于预测或回归时，优先使用2019–2025年GDP与第三产业数据；旅游收入和游客量可使用有观测年份建立非平衡面板/缺失值模型，不宜将空白年份用线性插值后当作实际统计值。</x:v>
      </x:c>
      <x:c r="B12" s="49"/>
      <x:c r="C12" s="49"/>
      <x:c r="D12" s="50"/>
    </x:row>
  </x:sheetData>
  <x:mergeCells>
    <x:mergeCell ref="A1:D1"/>
    <x:mergeCell ref="A12:D12"/>
  </x:mergeCells>
  <x:pageMargins left="0.7" right="0.7" top="0.75" bottom="0.75" header="0.3" footer="0.3"/>
</x:worksheet>
</file>