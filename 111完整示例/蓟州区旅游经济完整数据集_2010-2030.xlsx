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1f6c99386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ac2e139c29a4822"/>
    <x:sheet xmlns:r="http://schemas.openxmlformats.org/officeDocument/2006/relationships" name="年度主数据" sheetId="2" r:id="R509de3a6df79422b"/>
    <x:sheet xmlns:r="http://schemas.openxmlformats.org/officeDocument/2006/relationships" name="来源长表" sheetId="3" r:id="Rc520177d6f034346"/>
    <x:sheet xmlns:r="http://schemas.openxmlformats.org/officeDocument/2006/relationships" name="数据质量" sheetId="4" r:id="Rbc9c9dcce41b4db8"/>
    <x:sheet xmlns:r="http://schemas.openxmlformats.org/officeDocument/2006/relationships" name="简单模型" sheetId="5" r:id="R42eb7b6852ea46fe"/>
    <x:sheet xmlns:r="http://schemas.openxmlformats.org/officeDocument/2006/relationships" name="模型参数" sheetId="6" r:id="R8a958529279e432e"/>
    <x:sheet xmlns:r="http://schemas.openxmlformats.org/officeDocument/2006/relationships" name="模型诊断" sheetId="7" r:id="R5cfa263bc3074bfc"/>
    <x:sheet xmlns:r="http://schemas.openxmlformats.org/officeDocument/2006/relationships" name="正式预测" sheetId="8" r:id="R05eb233dc7f64330"/>
    <x:sheet xmlns:r="http://schemas.openxmlformats.org/officeDocument/2006/relationships" name="敏感性" sheetId="9" r:id="Rcfeedf69446e40fc"/>
    <x:sheet xmlns:r="http://schemas.openxmlformats.org/officeDocument/2006/relationships" name="政策建议" sheetId="10" r:id="R3f7c144cdd064238"/>
    <x:sheet xmlns:r="http://schemas.openxmlformats.org/officeDocument/2006/relationships" name="来源目录" sheetId="11" r:id="R8086b20d8b4e40eb"/>
    <x:sheet xmlns:r="http://schemas.openxmlformats.org/officeDocument/2006/relationships" name="情景分析" sheetId="12" r:id="R5972b2413ea7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"/>
    <x:numFmt numFmtId="201" formatCode="0.0%"/>
    <x:numFmt numFmtId="202" formatCode="0"/>
    <x:numFmt numFmtId="203" formatCode="0.00%"/>
    <x:numFmt numFmtId="204" formatCode="#,##0.00"/>
    <x:numFmt numFmtId="205" formatCode="0.0000"/>
    <x:numFmt numFmtId="206" formatCode="#,##0"/>
  </x:numFmts>
  <x:fonts count="4">
    <x:font>
      <x:sz val="11"/>
      <x:name val="Carlito"/>
    </x:font>
    <x:font>
      <x:b/>
      <x:sz val="20"/>
      <x:color rgb="FFFFFFFF"/>
      <x:name val="Carlito"/>
    </x:font>
    <x:font>
      <x:b/>
      <x:sz val="13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4" fontId="0" fillId="0" borderId="7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205" fontId="0" fillId="0" borderId="7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66868aba342cd" /><Relationship Type="http://schemas.openxmlformats.org/officeDocument/2006/relationships/theme" Target="/xl/theme/theme1.xml" Id="R0d5139004c664894" /><Relationship Type="http://schemas.openxmlformats.org/officeDocument/2006/relationships/sharedStrings" Target="/xl/sharedStrings.xml" Id="R0bfdf371d4b240f1" /><Relationship Type="http://schemas.openxmlformats.org/officeDocument/2006/relationships/worksheet" Target="/xl/worksheets/sheet1.xml" Id="Rbac2e139c29a4822" /><Relationship Type="http://schemas.openxmlformats.org/officeDocument/2006/relationships/worksheet" Target="/xl/worksheets/sheet2.xml" Id="R509de3a6df79422b" /><Relationship Type="http://schemas.openxmlformats.org/officeDocument/2006/relationships/worksheet" Target="/xl/worksheets/sheet3.xml" Id="Rc520177d6f034346" /><Relationship Type="http://schemas.openxmlformats.org/officeDocument/2006/relationships/worksheet" Target="/xl/worksheets/sheet4.xml" Id="Rbc9c9dcce41b4db8" /><Relationship Type="http://schemas.openxmlformats.org/officeDocument/2006/relationships/worksheet" Target="/xl/worksheets/sheet5.xml" Id="R42eb7b6852ea46fe" /><Relationship Type="http://schemas.openxmlformats.org/officeDocument/2006/relationships/worksheet" Target="/xl/worksheets/sheet6.xml" Id="R8a958529279e432e" /><Relationship Type="http://schemas.openxmlformats.org/officeDocument/2006/relationships/worksheet" Target="/xl/worksheets/sheet7.xml" Id="R5cfa263bc3074bfc" /><Relationship Type="http://schemas.openxmlformats.org/officeDocument/2006/relationships/worksheet" Target="/xl/worksheets/sheet8.xml" Id="R05eb233dc7f64330" /><Relationship Type="http://schemas.openxmlformats.org/officeDocument/2006/relationships/worksheet" Target="/xl/worksheets/sheet9.xml" Id="Rcfeedf69446e40fc" /><Relationship Type="http://schemas.openxmlformats.org/officeDocument/2006/relationships/worksheet" Target="/xl/worksheets/sheet10.xml" Id="R3f7c144cdd064238" /><Relationship Type="http://schemas.openxmlformats.org/officeDocument/2006/relationships/worksheet" Target="/xl/worksheets/sheet11.xml" Id="R8086b20d8b4e40eb" /><Relationship Type="http://schemas.openxmlformats.org/officeDocument/2006/relationships/worksheet" Target="/xl/worksheets/sheet12.xml" Id="R5972b2413ea74f0f" /><Relationship Type="http://schemas.microsoft.com/office/2017/10/relationships/person" Target="/xl/persons/person.xml" Id="Ra513f6e19dbc41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53614644564e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2026—2030游客量组合预测与95%区间（万人次）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visitors_point</c:v>
          </c:tx>
          <c:marker>
            <c:symbol val="none"/>
          </c:marker>
          <c:cat>
            <c:strRef>
              <c:f>'正式预测'!$J$2:$J$6</c:f>
              <c:strCache>
                <c:ptCount val="0"/>
              </c:strCache>
            </c:strRef>
          </c:cat>
          <c:val>
            <c:numRef>
              <c:f>'正式预测'!$K$2:$K$6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visitors_lower</c:v>
          </c:tx>
          <c:marker>
            <c:symbol val="none"/>
          </c:marker>
          <c:cat>
            <c:strRef>
              <c:f>'正式预测'!$J$2:$J$6</c:f>
              <c:strCache>
                <c:ptCount val="0"/>
              </c:strCache>
            </c:strRef>
          </c:cat>
          <c:val>
            <c:numRef>
              <c:f>'正式预测'!$L$2:$L$6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visitors_upper</c:v>
          </c:tx>
          <c:marker>
            <c:symbol val="none"/>
          </c:marker>
          <c:cat>
            <c:strRef>
              <c:f>'正式预测'!$J$2:$J$6</c:f>
              <c:strCache>
                <c:ptCount val="0"/>
              </c:strCache>
            </c:strRef>
          </c:cat>
          <c:val>
            <c:numRef>
              <c:f>'正式预测'!$M$2:$M$6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53614644564e1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83FEC69-B65B-4545-AAD9-607ABAC44987}"/>
</xltc:personList>
</file>

<file path=xl/tables/table1.xml><?xml version="1.0" encoding="utf-8"?>
<x:table xmlns:x="http://schemas.openxmlformats.org/spreadsheetml/2006/main" id="1" name="AnnualModeling" displayName="AnnualModeling" ref="A1:AH17" headerRowCount="1" totalsRowCount="0" totalsRowShown="0">
  <x:tableColumns count="34">
    <x:tableColumn id="1" name="year"/>
    <x:tableColumn id="2" name="tourist_visits_10k_persons"/>
    <x:tableColumn id="3" name="tourist_visits_status"/>
    <x:tableColumn id="4" name="tourism_direct_income_100m_cny"/>
    <x:tableColumn id="5" name="tourism_direct_income_status"/>
    <x:tableColumn id="6" name="tourism_comprehensive_income_100m_cny"/>
    <x:tableColumn id="7" name="tourism_comprehensive_income_status"/>
    <x:tableColumn id="8" name="gdp_100m_cny"/>
    <x:tableColumn id="9" name="gdp_status"/>
    <x:tableColumn id="10" name="tertiary_value_added_100m_cny"/>
    <x:tableColumn id="11" name="tertiary_status"/>
    <x:tableColumn id="12" name="source_ids"/>
    <x:tableColumn id="13" name="quality_note"/>
    <x:tableColumn id="14" name="social_retail_sales_100m_cny"/>
    <x:tableColumn id="15" name="fixed_asset_investment_100m_cny"/>
    <x:tableColumn id="16" name="urban_disposable_income_cny"/>
    <x:tableColumn id="17" name="rural_disposable_income_cny"/>
    <x:tableColumn id="18" name="resident_population_10k_persons"/>
    <x:tableColumn id="19" name="highway_mileage_km"/>
    <x:tableColumn id="20" name="general_public_budget_expenditure_100m_cny"/>
    <x:tableColumn id="21" name="culture_tourism_sports_media_expenditure_100m_cny"/>
    <x:tableColumn id="22" name="tianjin_tourist_visits_10k_persons"/>
    <x:tableColumn id="23" name="tianjin_tourism_income_100m_cny"/>
    <x:tableColumn id="24" name="tianjin_benchmark_source_id"/>
    <x:tableColumn id="25" name="tourism_income_per_visitor_cny"/>
    <x:tableColumn id="26" name="tourism_income_gdp_share"/>
    <x:tableColumn id="27" name="jizhou_visitor_share_tianjin"/>
    <x:tableColumn id="28" name="jizhou_income_share_tianjin"/>
    <x:tableColumn id="29" name="pandemic_2020_2022"/>
    <x:tableColumn id="30" name="post_2022"/>
    <x:tableColumn id="31" name="macro_break_2019"/>
    <x:tableColumn id="32" name="policy_phase"/>
    <x:tableColumn id="33" name="real_tourism_income_2024_cny"/>
    <x:tableColumn id="34" name="real_incom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Observations" displayName="SourceObservations" ref="A1:M129" headerRowCount="1" totalsRowCount="0" totalsRowShown="0">
  <x:tableColumns count="13">
    <x:tableColumn id="1" name="dataset"/>
    <x:tableColumn id="2" name="year"/>
    <x:tableColumn id="3" name="period_start"/>
    <x:tableColumn id="4" name="period_end"/>
    <x:tableColumn id="5" name="period_type"/>
    <x:tableColumn id="6" name="metric"/>
    <x:tableColumn id="7" name="value"/>
    <x:tableColumn id="8" name="unit"/>
    <x:tableColumn id="9" name="value_status"/>
    <x:tableColumn id="10" name="source_id"/>
    <x:tableColumn id="11" name="evidence_tier"/>
    <x:tableColumn id="12" name="source_url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Quality" displayName="DataQuality" ref="A1:F7" headerRowCount="1" totalsRowCount="0" totalsRowShown="0">
  <x:tableColumns count="6">
    <x:tableColumn id="1" name="metric"/>
    <x:tableColumn id="2" name="observed_years"/>
    <x:tableColumn id="3" name="total_years"/>
    <x:tableColumn id="4" name="coverage_rate"/>
    <x:tableColumn id="5" name="missing_years"/>
    <x:tableColumn id="6" name="handl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mpleModels" displayName="SimpleModels" ref="A1:G9" headerRowCount="1" totalsRowCount="0" totalsRowShown="0">
  <x:tableColumns count="7">
    <x:tableColumn id="1" name="metric"/>
    <x:tableColumn id="2" name="model"/>
    <x:tableColumn id="3" name="n"/>
    <x:tableColumn id="4" name="aicc"/>
    <x:tableColumn id="5" name="rmse"/>
    <x:tableColumn id="6" name="loocv_rmse"/>
    <x:tableColumn id="7" name="mape_perc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Parameters" displayName="ModelParameters" ref="A1:K19" headerRowCount="1" totalsRowCount="0" totalsRowShown="0">
  <x:tableColumns count="11">
    <x:tableColumn id="1" name="metric"/>
    <x:tableColumn id="2" name="model"/>
    <x:tableColumn id="3" name="parameter"/>
    <x:tableColumn id="4" name="estimate"/>
    <x:tableColumn id="5" name="residual_sigma_log"/>
    <x:tableColumn id="6" name="standard_error"/>
    <x:tableColumn id="7" name="test_statistic"/>
    <x:tableColumn id="8" name="p_value"/>
    <x:tableColumn id="9" name="ci95_lower"/>
    <x:tableColumn id="10" name="ci95_upper"/>
    <x:tableColumn id="11" name="inference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delDiagnostics" displayName="ModelDiagnostics" ref="A1:J7" headerRowCount="1" totalsRowCount="0" totalsRowShown="0">
  <x:tableColumns count="10">
    <x:tableColumn id="1" name="metric"/>
    <x:tableColumn id="2" name="model"/>
    <x:tableColumn id="3" name="backtest_n"/>
    <x:tableColumn id="4" name="mae"/>
    <x:tableColumn id="5" name="rmse"/>
    <x:tableColumn id="6" name="mape_percent"/>
    <x:tableColumn id="7" name="aicc"/>
    <x:tableColumn id="8" name="durbin_watson"/>
    <x:tableColumn id="9" name="jarque_bera_p"/>
    <x:tableColumn id="10" name="diagnostic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recast" displayName="Forecast" ref="A1:H11" headerRowCount="1" totalsRowCount="0" totalsRowShown="0">
  <x:tableColumns count="8">
    <x:tableColumn id="1" name="metric"/>
    <x:tableColumn id="2" name="year"/>
    <x:tableColumn id="3" name="forecast"/>
    <x:tableColumn id="4" name="lower_95"/>
    <x:tableColumn id="5" name="upper_95"/>
    <x:tableColumn id="6" name="model_weights"/>
    <x:tableColumn id="7" name="draws"/>
    <x:tableColumn id="8" name="se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nsitivity" displayName="Sensitivity" ref="A1:E11" headerRowCount="1" totalsRowCount="0" totalsRowShown="0">
  <x:tableColumns count="5">
    <x:tableColumn id="1" name="factor"/>
    <x:tableColumn id="2" name="direction"/>
    <x:tableColumn id="3" name="change"/>
    <x:tableColumn id="4" name="revenue_2030_100m"/>
    <x:tableColumn id="5" name="effect_2030_100m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olicyTargets" displayName="PolicyTargets" ref="A1:D6" headerRowCount="1" totalsRowCount="0" totalsRowShown="0">
  <x:tableColumns count="4">
    <x:tableColumn id="1" name="recommendation"/>
    <x:tableColumn id="2" name="target_2030"/>
    <x:tableColumn id="3" name="monitor"/>
    <x:tableColumn id="4" name="conditional_effec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Catalog" displayName="SourceCatalog" ref="A1:G61" headerRowCount="1" totalsRowCount="0" totalsRowShown="0">
  <x:tableColumns count="7">
    <x:tableColumn id="1" name="source_id"/>
    <x:tableColumn id="2" name="topic"/>
    <x:tableColumn id="3" name="source_label"/>
    <x:tableColumn id="4" name="url"/>
    <x:tableColumn id="5" name="expected_local_path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enarioForecasts" displayName="ScenarioForecasts" ref="A1:H16" headerRowCount="1" totalsRowCount="0" totalsRowShown="0">
  <x:tableColumns count="8">
    <x:tableColumn id="1" name="scenario"/>
    <x:tableColumn id="2" name="year"/>
    <x:tableColumn id="3" name="visitors_10k"/>
    <x:tableColumn id="4" name="spend_cny"/>
    <x:tableColumn id="5" name="revenue_100m"/>
    <x:tableColumn id="6" name="visitor_factor"/>
    <x:tableColumn id="7" name="spend_factor"/>
    <x:tableColumn id="8" name="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150ca6b1be4c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f9738bdd824f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018db4545740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06819285b846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4a8184141b4e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7ab19ef8084e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a3289114f5d46d5" /><Relationship Type="http://schemas.openxmlformats.org/officeDocument/2006/relationships/table" Target="/xl/tables/table7.xml" Id="Raadf65a254b04d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8ea1bbd4be4b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c3088d71f341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fd38fc14f754a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7b49e8a5565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0" t="str">
        <x:v>蓟州区旅游经济完整数据集（2010—2030）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2" t="str">
        <x:v>数据与模型结论一览</x:v>
      </x:c>
      <x:c r="B4" s="12"/>
      <x:c r="C4" s="12"/>
      <x:c r="D4" s="12"/>
      <x:c r="E4" s="12"/>
      <x:c r="F4" s="12"/>
      <x:c r="G4" s="12"/>
      <x:c r="H4" s="12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 t="str">
        <x:v>历史期</x:v>
      </x:c>
      <x:c r="B6" s="11" t="str">
        <x:v>2010—2025</x:v>
      </x:c>
      <x:c r="C6" s="11"/>
      <x:c r="D6" s="11" t="str">
        <x:v>预测年份</x:v>
      </x:c>
      <x:c r="E6" s="11" t="str">
        <x:v>游客量/综合收入</x:v>
      </x:c>
      <x:c r="F6" s="11"/>
      <x:c r="G6" s="11"/>
      <x:c r="H6" s="11"/>
    </x:row>
    <x:row r="7">
      <x:c r="A7" s="11" t="str">
        <x:v>预测期</x:v>
      </x:c>
      <x:c r="B7" s="11" t="str">
        <x:v>2026—2030</x:v>
      </x:c>
      <x:c r="C7" s="11"/>
      <x:c r="D7" s="11" t="n">
        <x:v>2026</x:v>
      </x:c>
      <x:c r="E7" s="11" t="str">
        <x:v>2830.18 万人次 / 249.72 亿元</x:v>
      </x:c>
      <x:c r="F7" s="11"/>
      <x:c r="G7" s="11"/>
      <x:c r="H7" s="11"/>
    </x:row>
    <x:row r="8">
      <x:c r="A8" s="11" t="str">
        <x:v>核心指标</x:v>
      </x:c>
      <x:c r="B8" s="11" t="str">
        <x:v>游客量（万人次）、旅游综合收入（亿元）</x:v>
      </x:c>
      <x:c r="C8" s="11"/>
      <x:c r="D8" s="11" t="n">
        <x:v>2027</x:v>
      </x:c>
      <x:c r="E8" s="11" t="str">
        <x:v>2861.16 / 262.95</x:v>
      </x:c>
      <x:c r="F8" s="11"/>
      <x:c r="G8" s="11"/>
      <x:c r="H8" s="11"/>
    </x:row>
    <x:row r="9">
      <x:c r="A9" s="11" t="str">
        <x:v>正式方法</x:v>
      </x:c>
      <x:c r="B9" s="11" t="str">
        <x:v>分段趋势 + 阻尼 Holt + 局部线性状态模型的逆 RMSE 加权组合</x:v>
      </x:c>
      <x:c r="C9" s="11"/>
      <x:c r="D9" s="11" t="n">
        <x:v>2028</x:v>
      </x:c>
      <x:c r="E9" s="11" t="str">
        <x:v>2874.78 / 277.72</x:v>
      </x:c>
      <x:c r="F9" s="11"/>
      <x:c r="G9" s="11"/>
      <x:c r="H9" s="11"/>
    </x:row>
    <x:row r="10">
      <x:c r="A10" s="11" t="str">
        <x:v>区间方法</x:v>
      </x:c>
      <x:c r="B10" s="11" t="str">
        <x:v>10,000 次模型与残差联合模拟，随机种子 20260817</x:v>
      </x:c>
      <x:c r="C10" s="11"/>
      <x:c r="D10" s="11" t="n">
        <x:v>2030</x:v>
      </x:c>
      <x:c r="E10" s="11" t="str">
        <x:v>2910.88 / 313.40</x:v>
      </x:c>
      <x:c r="F10" s="11"/>
      <x:c r="G10" s="11"/>
      <x:c r="H10" s="11"/>
    </x:row>
    <x:row r="11">
      <x:c r="A11" s="11" t="str">
        <x:v>重要限制</x:v>
      </x:c>
      <x:c r="B11" s="11" t="str">
        <x:v>2025 年年度实际值尚缺；2020—2022 年缺口保留，不伪造填补；缺少统一可比 CPI 序列，收入为名义值</x:v>
      </x:c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2" t="str">
        <x:v>工作表导航与口径</x:v>
      </x:c>
      <x:c r="B13" s="12"/>
      <x:c r="C13" s="12"/>
      <x:c r="D13" s="12"/>
      <x:c r="E13" s="12"/>
      <x:c r="F13" s="12"/>
      <x:c r="G13" s="12"/>
      <x:c r="H13" s="12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8" t="str">
        <x:v>工作表</x:v>
      </x:c>
      <x:c r="B15" s="8" t="str">
        <x:v>用途</x:v>
      </x:c>
      <x:c r="C15" s="8" t="str">
        <x:v>数据层级</x:v>
      </x:c>
      <x:c r="D15" s="8" t="str">
        <x:v>是否含公式</x:v>
      </x:c>
      <x:c r="E15" s="8" t="str">
        <x:v>主要单位</x:v>
      </x:c>
      <x:c r="F15" s="8" t="str">
        <x:v>缺失处理</x:v>
      </x:c>
      <x:c r="G15" s="8" t="str">
        <x:v>来源</x:v>
      </x:c>
      <x:c r="H15" s="8" t="str">
        <x:v>备注</x:v>
      </x:c>
    </x:row>
    <x:row r="16">
      <x:c r="A16" s="13" t="str">
        <x:v>年度主数据</x:v>
      </x:c>
      <x:c r="B16" s="13" t="str">
        <x:v>年度建模宽表</x:v>
      </x:c>
      <x:c r="C16" s="13" t="str">
        <x:v>加工层</x:v>
      </x:c>
      <x:c r="D16" s="13" t="str">
        <x:v>是</x:v>
      </x:c>
      <x:c r="E16" s="13" t="str">
        <x:v>万人次、亿元</x:v>
      </x:c>
      <x:c r="F16" s="13" t="str">
        <x:v>保留空值</x:v>
      </x:c>
      <x:c r="G16" s="13" t="str">
        <x:v>政府公报/年鉴</x:v>
      </x:c>
      <x:c r="H16" s="13" t="str">
        <x:v>派生比率由 Excel 公式计算</x:v>
      </x:c>
    </x:row>
    <x:row r="17">
      <x:c r="A17" s="13" t="str">
        <x:v>来源长表</x:v>
      </x:c>
      <x:c r="B17" s="13" t="str">
        <x:v>原始观测与证据</x:v>
      </x:c>
      <x:c r="C17" s="13" t="str">
        <x:v>原始层</x:v>
      </x:c>
      <x:c r="D17" s="13" t="str">
        <x:v>否</x:v>
      </x:c>
      <x:c r="E17" s="13" t="str">
        <x:v>原口径</x:v>
      </x:c>
      <x:c r="F17" s="13" t="str">
        <x:v>不填补</x:v>
      </x:c>
      <x:c r="G17" s="13" t="str">
        <x:v>来源 URL</x:v>
      </x:c>
      <x:c r="H17" s="13" t="str">
        <x:v>每行可追溯</x:v>
      </x:c>
    </x:row>
    <x:row r="18">
      <x:c r="A18" s="13" t="str">
        <x:v>数据质量</x:v>
      </x:c>
      <x:c r="B18" s="13" t="str">
        <x:v>覆盖率与缺口</x:v>
      </x:c>
      <x:c r="C18" s="13" t="str">
        <x:v>审计层</x:v>
      </x:c>
      <x:c r="D18" s="13" t="str">
        <x:v>否</x:v>
      </x:c>
      <x:c r="E18" s="13" t="str">
        <x:v>比例</x:v>
      </x:c>
      <x:c r="F18" s="13" t="str">
        <x:v>列示缺失年</x:v>
      </x:c>
      <x:c r="G18" s="13" t="str">
        <x:v>作者审计</x:v>
      </x:c>
      <x:c r="H18" s="13" t="str">
        <x:v>可判定可用性</x:v>
      </x:c>
    </x:row>
    <x:row r="19">
      <x:c r="A19" s="13" t="str">
        <x:v>简单模型</x:v>
      </x:c>
      <x:c r="B19" s="13" t="str">
        <x:v>问题一增长模型比较</x:v>
      </x:c>
      <x:c r="C19" s="13" t="str">
        <x:v>结果层</x:v>
      </x:c>
      <x:c r="D19" s="13" t="str">
        <x:v>否</x:v>
      </x:c>
      <x:c r="E19" s="13" t="str">
        <x:v>误差指标</x:v>
      </x:c>
      <x:c r="F19" s="13" t="str">
        <x:v>完整观测年份</x:v>
      </x:c>
      <x:c r="G19" s="13" t="str">
        <x:v>作者计算</x:v>
      </x:c>
      <x:c r="H19" s="13" t="str">
        <x:v>留一法 RMSE</x:v>
      </x:c>
    </x:row>
    <x:row r="20">
      <x:c r="A20" s="13" t="str">
        <x:v>模型参数</x:v>
      </x:c>
      <x:c r="B20" s="13" t="str">
        <x:v>参数估计与检验</x:v>
      </x:c>
      <x:c r="C20" s="13" t="str">
        <x:v>结果层</x:v>
      </x:c>
      <x:c r="D20" s="13" t="str">
        <x:v>否</x:v>
      </x:c>
      <x:c r="E20" s="13" t="str">
        <x:v>对数尺度</x:v>
      </x:c>
      <x:c r="F20" s="13" t="str">
        <x:v>小样本谨慎解释</x:v>
      </x:c>
      <x:c r="G20" s="13" t="str">
        <x:v>作者计算</x:v>
      </x:c>
      <x:c r="H20" s="13" t="str">
        <x:v>含 95% CI</x:v>
      </x:c>
    </x:row>
    <x:row r="21">
      <x:c r="A21" s="13" t="str">
        <x:v>模型诊断</x:v>
      </x:c>
      <x:c r="B21" s="13" t="str">
        <x:v>滚动回测与残差诊断</x:v>
      </x:c>
      <x:c r="C21" s="13" t="str">
        <x:v>结果层</x:v>
      </x:c>
      <x:c r="D21" s="13" t="str">
        <x:v>否</x:v>
      </x:c>
      <x:c r="E21" s="13" t="str">
        <x:v>MAE/RMSE/MAPE</x:v>
      </x:c>
      <x:c r="F21" s="13" t="str">
        <x:v>5 个回测点</x:v>
      </x:c>
      <x:c r="G21" s="13" t="str">
        <x:v>作者计算</x:v>
      </x:c>
      <x:c r="H21" s="13" t="str">
        <x:v>低功效提示</x:v>
      </x:c>
    </x:row>
    <x:row r="22">
      <x:c r="A22" s="13" t="str">
        <x:v>正式预测</x:v>
      </x:c>
      <x:c r="B22" s="13" t="str">
        <x:v>2026—2030 点预测及区间</x:v>
      </x:c>
      <x:c r="C22" s="13" t="str">
        <x:v>结果层</x:v>
      </x:c>
      <x:c r="D22" s="13" t="str">
        <x:v>否</x:v>
      </x:c>
      <x:c r="E22" s="13" t="str">
        <x:v>万人次、亿元</x:v>
      </x:c>
      <x:c r="F22" s="13" t="str">
        <x:v>联合模拟</x:v>
      </x:c>
      <x:c r="G22" s="13" t="str">
        <x:v>作者计算</x:v>
      </x:c>
      <x:c r="H22" s="13" t="str">
        <x:v>95% 预测区间</x:v>
      </x:c>
    </x:row>
    <x:row r="23">
      <x:c r="A23" s="13" t="str">
        <x:v>情景分析</x:v>
      </x:c>
      <x:c r="B23" s="13" t="str">
        <x:v>基准/乐观/悲观</x:v>
      </x:c>
      <x:c r="C23" s="13" t="str">
        <x:v>结果层</x:v>
      </x:c>
      <x:c r="D23" s="13" t="str">
        <x:v>是</x:v>
      </x:c>
      <x:c r="E23" s="13" t="str">
        <x:v>万人次、元/人次、亿元</x:v>
      </x:c>
      <x:c r="F23" s="13" t="str">
        <x:v>收入恒等式</x:v>
      </x:c>
      <x:c r="G23" s="13" t="str">
        <x:v>作者计算</x:v>
      </x:c>
      <x:c r="H23" s="13" t="str">
        <x:v>情景不是置信区间</x:v>
      </x:c>
    </x:row>
    <x:row r="24">
      <x:c r="A24" s="13" t="str">
        <x:v>敏感性</x:v>
      </x:c>
      <x:c r="B24" s="13" t="str">
        <x:v>单因素与联合扰动</x:v>
      </x:c>
      <x:c r="C24" s="13" t="str">
        <x:v>结果层</x:v>
      </x:c>
      <x:c r="D24" s="13" t="str">
        <x:v>否</x:v>
      </x:c>
      <x:c r="E24" s="13" t="str">
        <x:v>亿元/相关系数</x:v>
      </x:c>
      <x:c r="F24" s="13" t="str">
        <x:v>随机种子固定</x:v>
      </x:c>
      <x:c r="G24" s="13" t="str">
        <x:v>作者计算</x:v>
      </x:c>
      <x:c r="H24" s="13" t="str">
        <x:v>含因素排序</x:v>
      </x:c>
    </x:row>
    <x:row r="25">
      <x:c r="A25" s="13" t="str">
        <x:v>政策建议</x:v>
      </x:c>
      <x:c r="B25" s="13" t="str">
        <x:v>量化目标与监测</x:v>
      </x:c>
      <x:c r="C25" s="13" t="str">
        <x:v>决策层</x:v>
      </x:c>
      <x:c r="D25" s="13" t="str">
        <x:v>否</x:v>
      </x:c>
      <x:c r="E25" s="13" t="str">
        <x:v>目标值</x:v>
      </x:c>
      <x:c r="F25" s="13" t="str">
        <x:v>条件性效果</x:v>
      </x:c>
      <x:c r="G25" s="13" t="str">
        <x:v>模型推演</x:v>
      </x:c>
      <x:c r="H25" s="13" t="str">
        <x:v>不作无条件承诺</x:v>
      </x:c>
    </x:row>
    <x:row r="26">
      <x:c r="A26" s="13" t="str">
        <x:v>来源目录</x:v>
      </x:c>
      <x:c r="B26" s="13" t="str">
        <x:v>来源元数据</x:v>
      </x:c>
      <x:c r="C26" s="13" t="str">
        <x:v>证据层</x:v>
      </x:c>
      <x:c r="D26" s="13" t="str">
        <x:v>否</x:v>
      </x:c>
      <x:c r="E26" s="13" t="str">
        <x:v>—</x:v>
      </x:c>
      <x:c r="F26" s="13" t="str">
        <x:v>—</x:v>
      </x:c>
      <x:c r="G26" s="13" t="str">
        <x:v>政府官网等</x:v>
      </x:c>
      <x:c r="H26" s="13" t="str">
        <x:v>含访问日期</x:v>
      </x:c>
    </x:row>
  </x:sheetData>
  <x:mergeCells>
    <x:mergeCell ref="A1:H2"/>
    <x:mergeCell ref="A4:H4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5" hidden="0" customWidth="1"/>
  </x:cols>
  <x:sheetData>
    <x:row r="1" ht="58" customHeight="1">
      <x:c r="A1" s="23" t="str">
        <x:v>year</x:v>
      </x:c>
      <x:c r="B1" s="24" t="str">
        <x:v>tourist_visits_10k_persons</x:v>
      </x:c>
      <x:c r="C1" s="24" t="str">
        <x:v>tourist_visits_status</x:v>
      </x:c>
      <x:c r="D1" s="24" t="str">
        <x:v>tourism_direct_income_100m_cny</x:v>
      </x:c>
      <x:c r="E1" s="24" t="str">
        <x:v>tourism_direct_income_status</x:v>
      </x:c>
      <x:c r="F1" s="24" t="str">
        <x:v>tourism_comprehensive_income_100m_cny</x:v>
      </x:c>
      <x:c r="G1" s="24" t="str">
        <x:v>tourism_comprehensive_income_status</x:v>
      </x:c>
      <x:c r="H1" s="24" t="str">
        <x:v>gdp_100m_cny</x:v>
      </x:c>
      <x:c r="I1" s="24" t="str">
        <x:v>gdp_status</x:v>
      </x:c>
      <x:c r="J1" s="24" t="str">
        <x:v>tertiary_value_added_100m_cny</x:v>
      </x:c>
      <x:c r="K1" s="24" t="str">
        <x:v>tertiary_status</x:v>
      </x:c>
      <x:c r="L1" s="24" t="str">
        <x:v>source_ids</x:v>
      </x:c>
      <x:c r="M1" s="24" t="str">
        <x:v>quality_note</x:v>
      </x:c>
      <x:c r="N1" s="24" t="str">
        <x:v>social_retail_sales_100m_cny</x:v>
      </x:c>
      <x:c r="O1" s="24" t="str">
        <x:v>fixed_asset_investment_100m_cny</x:v>
      </x:c>
      <x:c r="P1" s="24" t="str">
        <x:v>urban_disposable_income_cny</x:v>
      </x:c>
      <x:c r="Q1" s="24" t="str">
        <x:v>rural_disposable_income_cny</x:v>
      </x:c>
      <x:c r="R1" s="24" t="str">
        <x:v>resident_population_10k_persons</x:v>
      </x:c>
      <x:c r="S1" s="24" t="str">
        <x:v>highway_mileage_km</x:v>
      </x:c>
      <x:c r="T1" s="24" t="str">
        <x:v>general_public_budget_expenditure_100m_cny</x:v>
      </x:c>
      <x:c r="U1" s="24" t="str">
        <x:v>culture_tourism_sports_media_expenditure_100m_cny</x:v>
      </x:c>
      <x:c r="V1" s="24" t="str">
        <x:v>tianjin_tourist_visits_10k_persons</x:v>
      </x:c>
      <x:c r="W1" s="24" t="str">
        <x:v>tianjin_tourism_income_100m_cny</x:v>
      </x:c>
      <x:c r="X1" s="24" t="str">
        <x:v>tianjin_benchmark_source_id</x:v>
      </x:c>
      <x:c r="Y1" s="24" t="str">
        <x:v>tourism_income_per_visitor_cny</x:v>
      </x:c>
      <x:c r="Z1" s="24" t="str">
        <x:v>tourism_income_gdp_share</x:v>
      </x:c>
      <x:c r="AA1" s="24" t="str">
        <x:v>jizhou_visitor_share_tianjin</x:v>
      </x:c>
      <x:c r="AB1" s="24" t="str">
        <x:v>jizhou_income_share_tianjin</x:v>
      </x:c>
      <x:c r="AC1" s="24" t="str">
        <x:v>pandemic_2020_2022</x:v>
      </x:c>
      <x:c r="AD1" s="24" t="str">
        <x:v>post_2022</x:v>
      </x:c>
      <x:c r="AE1" s="24" t="str">
        <x:v>macro_break_2019</x:v>
      </x:c>
      <x:c r="AF1" s="24" t="str">
        <x:v>policy_phase</x:v>
      </x:c>
      <x:c r="AG1" s="24" t="str">
        <x:v>real_tourism_income_2024_cny</x:v>
      </x:c>
      <x:c r="AH1" s="25" t="str">
        <x:v>real_income_status</x:v>
      </x:c>
    </x:row>
    <x:row r="2" ht="38" customHeight="1">
      <x:c r="A2" s="29" t="n">
        <x:v>2010</x:v>
      </x:c>
      <x:c r="B2" s="29" t="n">
        <x:v>848</x:v>
      </x:c>
      <x:c r="C2" s="29" t="str">
        <x:v>observed_rounded</x:v>
      </x:c>
      <x:c r="D2" s="29" t="n">
        <x:v>7.104247</x:v>
      </x:c>
      <x:c r="E2" s="29" t="str">
        <x:v>inferred_from_yoy</x:v>
      </x:c>
      <x:c r="F2" s="29" t="n">
        <x:v>35.521236</x:v>
      </x:c>
      <x:c r="G2" s="29" t="str">
        <x:v>inferred_from_yoy</x:v>
      </x:c>
      <x:c r="H2" s="29" t="n">
        <x:v>215.47</x:v>
      </x:c>
      <x:c r="I2" s="29" t="str">
        <x:v>official_yearbook</x:v>
      </x:c>
      <x:c r="J2" s="29" t="n">
        <x:v>136.23</x:v>
      </x:c>
      <x:c r="K2" s="29" t="str">
        <x:v>official_yearbook</x:v>
      </x:c>
      <x:c r="L2" s="32" t="str">
        <x:v>gov_jz_report_2011;gov_jz_bulletin_2011;gov_tj_yearbook_2011_jixian</x:v>
      </x:c>
      <x:c r="M2" s="32" t="str">
        <x:v>收入为同比反推；游客量为工作报告约数</x:v>
      </x:c>
      <x:c r="N2" s="32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35" t="n">
        <x:f>IF(AND(B2&lt;&gt;"",F2&lt;&gt;""),F2*10000/B2,"")</x:f>
        <x:v>418.88250000000005</x:v>
      </x:c>
      <x:c r="Z2" s="38" t="n">
        <x:f>IF(AND(F2&lt;&gt;"",H2&lt;&gt;""),F2/H2,"")</x:f>
        <x:v>0.16485467118392352</x:v>
      </x:c>
      <x:c r="AA2" s="38" t="str">
        <x:f>IF(AND(B2&lt;&gt;"",V2&lt;&gt;""),B2/V2,"")</x:f>
      </x:c>
      <x:c r="AB2" s="38" t="str">
        <x:f>IF(AND(F2&lt;&gt;"",W2&lt;&gt;""),F2/W2,"")</x:f>
      </x:c>
      <x:c r="AC2" s="29" t="n">
        <x:v>0</x:v>
      </x:c>
      <x:c r="AD2" s="29" t="n">
        <x:v>0</x:v>
      </x:c>
      <x:c r="AE2" s="29" t="n">
        <x:v>0</x:v>
      </x:c>
      <x:c r="AF2" s="29" t="str">
        <x:v>2010-2015</x:v>
      </x:c>
      <x:c r="AG2" s="29"/>
      <x:c r="AH2" s="32" t="str">
        <x:v>unavailable_consistent_cpi_series</x:v>
      </x:c>
    </x:row>
    <x:row r="3" ht="38" customHeight="1">
      <x:c r="A3" s="30" t="n">
        <x:v>2011</x:v>
      </x:c>
      <x:c r="B3" s="30" t="n">
        <x:v>1098.6</x:v>
      </x:c>
      <x:c r="C3" s="30" t="str">
        <x:v>observed</x:v>
      </x:c>
      <x:c r="D3" s="30" t="n">
        <x:v>9.2</x:v>
      </x:c>
      <x:c r="E3" s="30" t="str">
        <x:v>observed</x:v>
      </x:c>
      <x:c r="F3" s="30" t="n">
        <x:v>46</x:v>
      </x:c>
      <x:c r="G3" s="30" t="str">
        <x:v>observed</x:v>
      </x:c>
      <x:c r="H3" s="30" t="n">
        <x:v>250.11</x:v>
      </x:c>
      <x:c r="I3" s="30" t="str">
        <x:v>official_yearbook</x:v>
      </x:c>
      <x:c r="J3" s="30" t="n">
        <x:v>147.02</x:v>
      </x:c>
      <x:c r="K3" s="30" t="str">
        <x:v>official_yearbook</x:v>
      </x:c>
      <x:c r="L3" s="33" t="str">
        <x:v>gov_jz_bulletin_2011;gov_tj_yearbook_2012_jixian</x:v>
      </x:c>
      <x:c r="M3" s="33" t="str">
        <x:v>宏观指标采用后版年鉴回列值并保留公报初值于宏观长表</x:v>
      </x:c>
      <x:c r="N3" s="33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6" t="n">
        <x:f>IF(AND(B3&lt;&gt;"",F3&lt;&gt;""),F3*10000/B3,"")</x:f>
        <x:v>418.7147278354269</x:v>
      </x:c>
      <x:c r="Z3" s="39" t="n">
        <x:f>IF(AND(F3&lt;&gt;"",H3&lt;&gt;""),F3/H3,"")</x:f>
        <x:v>0.18391907560673304</x:v>
      </x:c>
      <x:c r="AA3" s="39" t="str">
        <x:f>IF(AND(B3&lt;&gt;"",V3&lt;&gt;""),B3/V3,"")</x:f>
      </x:c>
      <x:c r="AB3" s="39" t="str">
        <x:f>IF(AND(F3&lt;&gt;"",W3&lt;&gt;""),F3/W3,"")</x:f>
      </x:c>
      <x:c r="AC3" s="30" t="n">
        <x:v>0</x:v>
      </x:c>
      <x:c r="AD3" s="30" t="n">
        <x:v>0</x:v>
      </x:c>
      <x:c r="AE3" s="30" t="n">
        <x:v>0</x:v>
      </x:c>
      <x:c r="AF3" s="30" t="str">
        <x:v>2010-2015</x:v>
      </x:c>
      <x:c r="AG3" s="30"/>
      <x:c r="AH3" s="33" t="str">
        <x:v>unavailable_consistent_cpi_series</x:v>
      </x:c>
    </x:row>
    <x:row r="4" ht="38" customHeight="1">
      <x:c r="A4" s="30" t="n">
        <x:v>2012</x:v>
      </x:c>
      <x:c r="B4" s="30" t="n">
        <x:v>1152</x:v>
      </x:c>
      <x:c r="C4" s="30" t="str">
        <x:v>observed_rounded</x:v>
      </x:c>
      <x:c r="D4" s="30"/>
      <x:c r="E4" s="30"/>
      <x:c r="F4" s="30" t="n">
        <x:v>52</x:v>
      </x:c>
      <x:c r="G4" s="30" t="str">
        <x:v>observed_rounded</x:v>
      </x:c>
      <x:c r="H4" s="30" t="n">
        <x:v>333.3</x:v>
      </x:c>
      <x:c r="I4" s="30" t="str">
        <x:v>provisional_estimate</x:v>
      </x:c>
      <x:c r="J4" s="30"/>
      <x:c r="K4" s="30"/>
      <x:c r="L4" s="33" t="str">
        <x:v>gov_jz_report_2013</x:v>
      </x:c>
      <x:c r="M4" s="33" t="str">
        <x:v>旅游为工作报告回顾值；GDP为预计值且待后续年鉴复核</x:v>
      </x:c>
      <x:c r="N4" s="33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6" t="n">
        <x:f>IF(AND(B4&lt;&gt;"",F4&lt;&gt;""),F4*10000/B4,"")</x:f>
        <x:v>451.3888888888889</x:v>
      </x:c>
      <x:c r="Z4" s="39" t="n">
        <x:f>IF(AND(F4&lt;&gt;"",H4&lt;&gt;""),F4/H4,"")</x:f>
        <x:v>0.156015601560156</x:v>
      </x:c>
      <x:c r="AA4" s="39" t="str">
        <x:f>IF(AND(B4&lt;&gt;"",V4&lt;&gt;""),B4/V4,"")</x:f>
      </x:c>
      <x:c r="AB4" s="39" t="str">
        <x:f>IF(AND(F4&lt;&gt;"",W4&lt;&gt;""),F4/W4,"")</x:f>
      </x:c>
      <x:c r="AC4" s="30" t="n">
        <x:v>0</x:v>
      </x:c>
      <x:c r="AD4" s="30" t="n">
        <x:v>0</x:v>
      </x:c>
      <x:c r="AE4" s="30" t="n">
        <x:v>0</x:v>
      </x:c>
      <x:c r="AF4" s="30" t="str">
        <x:v>2010-2015</x:v>
      </x:c>
      <x:c r="AG4" s="30"/>
      <x:c r="AH4" s="33" t="str">
        <x:v>unavailable_consistent_cpi_series</x:v>
      </x:c>
    </x:row>
    <x:row r="5" ht="38" customHeight="1">
      <x:c r="A5" s="30" t="n">
        <x:v>2013</x:v>
      </x:c>
      <x:c r="B5" s="30" t="n">
        <x:v>1295</x:v>
      </x:c>
      <x:c r="C5" s="30" t="str">
        <x:v>observed_cached</x:v>
      </x:c>
      <x:c r="D5" s="30" t="n">
        <x:v>12.63</x:v>
      </x:c>
      <x:c r="E5" s="30" t="str">
        <x:v>observed_cached</x:v>
      </x:c>
      <x:c r="F5" s="30" t="n">
        <x:v>63.2</x:v>
      </x:c>
      <x:c r="G5" s="30" t="str">
        <x:v>observed_cached</x:v>
      </x:c>
      <x:c r="H5" s="30" t="n">
        <x:v>316.8</x:v>
      </x:c>
      <x:c r="I5" s="30" t="str">
        <x:v>inferred_from_official_bulletin</x:v>
      </x:c>
      <x:c r="J5" s="30" t="n">
        <x:v>187.5456</x:v>
      </x:c>
      <x:c r="K5" s="30" t="str">
        <x:v>inferred_from_official_bulletin</x:v>
      </x:c>
      <x:c r="L5" s="33" t="str">
        <x:v>gov_jz_tourism_summary_2013;gov_jz_bulletin_2014</x:v>
      </x:c>
      <x:c r="M5" s="33" t="str">
        <x:v>旅游官方详情页当前下线；宏观值由2014公报回列信息推导</x:v>
      </x:c>
      <x:c r="N5" s="33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6" t="n">
        <x:f>IF(AND(B5&lt;&gt;"",F5&lt;&gt;""),F5*10000/B5,"")</x:f>
        <x:v>488.03088803088804</x:v>
      </x:c>
      <x:c r="Z5" s="39" t="n">
        <x:f>IF(AND(F5&lt;&gt;"",H5&lt;&gt;""),F5/H5,"")</x:f>
        <x:v>0.1994949494949495</x:v>
      </x:c>
      <x:c r="AA5" s="39" t="str">
        <x:f>IF(AND(B5&lt;&gt;"",V5&lt;&gt;""),B5/V5,"")</x:f>
      </x:c>
      <x:c r="AB5" s="39" t="str">
        <x:f>IF(AND(F5&lt;&gt;"",W5&lt;&gt;""),F5/W5,"")</x:f>
      </x:c>
      <x:c r="AC5" s="30" t="n">
        <x:v>0</x:v>
      </x:c>
      <x:c r="AD5" s="30" t="n">
        <x:v>0</x:v>
      </x:c>
      <x:c r="AE5" s="30" t="n">
        <x:v>0</x:v>
      </x:c>
      <x:c r="AF5" s="30" t="str">
        <x:v>2010-2015</x:v>
      </x:c>
      <x:c r="AG5" s="30"/>
      <x:c r="AH5" s="33" t="str">
        <x:v>unavailable_consistent_cpi_series</x:v>
      </x:c>
    </x:row>
    <x:row r="6" ht="38" customHeight="1">
      <x:c r="A6" s="30" t="n">
        <x:v>2014</x:v>
      </x:c>
      <x:c r="B6" s="30" t="n">
        <x:v>1553.4</x:v>
      </x:c>
      <x:c r="C6" s="30" t="str">
        <x:v>observed_revised</x:v>
      </x:c>
      <x:c r="D6" s="30" t="n">
        <x:v>15.8007</x:v>
      </x:c>
      <x:c r="E6" s="30" t="str">
        <x:v>observed_revised</x:v>
      </x:c>
      <x:c r="F6" s="30" t="n">
        <x:v>79</x:v>
      </x:c>
      <x:c r="G6" s="30" t="str">
        <x:v>observed</x:v>
      </x:c>
      <x:c r="H6" s="30" t="n">
        <x:v>361.1</x:v>
      </x:c>
      <x:c r="I6" s="30" t="str">
        <x:v>official_initial</x:v>
      </x:c>
      <x:c r="J6" s="30" t="n">
        <x:v>212.91</x:v>
      </x:c>
      <x:c r="K6" s="30" t="str">
        <x:v>official_initial</x:v>
      </x:c>
      <x:c r="L6" s="33" t="str">
        <x:v>gov_jz_tourism_stats_2015;gov_jz_bulletin_2014</x:v>
      </x:c>
      <x:c r="M6" s="33" t="str">
        <x:v>游客和直接收入采用下一年统计表回列修订值</x:v>
      </x:c>
      <x:c r="N6" s="33" t="n">
        <x:v>154.22616</x:v>
      </x:c>
      <x:c r="O6" s="30" t="n">
        <x:v>635.2217</x:v>
      </x:c>
      <x:c r="P6" s="30"/>
      <x:c r="Q6" s="30"/>
      <x:c r="R6" s="30"/>
      <x:c r="S6" s="30"/>
      <x:c r="T6" s="30"/>
      <x:c r="U6" s="30"/>
      <x:c r="V6" s="30"/>
      <x:c r="W6" s="30"/>
      <x:c r="X6" s="30"/>
      <x:c r="Y6" s="36" t="n">
        <x:f>IF(AND(B6&lt;&gt;"",F6&lt;&gt;""),F6*10000/B6,"")</x:f>
        <x:v>508.5618642976696</x:v>
      </x:c>
      <x:c r="Z6" s="39" t="n">
        <x:f>IF(AND(F6&lt;&gt;"",H6&lt;&gt;""),F6/H6,"")</x:f>
        <x:v>0.21877596233730268</x:v>
      </x:c>
      <x:c r="AA6" s="39" t="str">
        <x:f>IF(AND(B6&lt;&gt;"",V6&lt;&gt;""),B6/V6,"")</x:f>
      </x:c>
      <x:c r="AB6" s="39" t="str">
        <x:f>IF(AND(F6&lt;&gt;"",W6&lt;&gt;""),F6/W6,"")</x:f>
      </x:c>
      <x:c r="AC6" s="30" t="n">
        <x:v>0</x:v>
      </x:c>
      <x:c r="AD6" s="30" t="n">
        <x:v>0</x:v>
      </x:c>
      <x:c r="AE6" s="30" t="n">
        <x:v>0</x:v>
      </x:c>
      <x:c r="AF6" s="30" t="str">
        <x:v>2010-2015</x:v>
      </x:c>
      <x:c r="AG6" s="30"/>
      <x:c r="AH6" s="33" t="str">
        <x:v>unavailable_consistent_cpi_series</x:v>
      </x:c>
    </x:row>
    <x:row r="7" ht="38" customHeight="1">
      <x:c r="A7" s="30" t="n">
        <x:v>2015</x:v>
      </x:c>
      <x:c r="B7" s="30" t="n">
        <x:v>1818.72</x:v>
      </x:c>
      <x:c r="C7" s="30" t="str">
        <x:v>observed_revised</x:v>
      </x:c>
      <x:c r="D7" s="30" t="n">
        <x:v>18.7922</x:v>
      </x:c>
      <x:c r="E7" s="30" t="str">
        <x:v>observed_revised</x:v>
      </x:c>
      <x:c r="F7" s="30" t="n">
        <x:v>94</x:v>
      </x:c>
      <x:c r="G7" s="30" t="str">
        <x:v>observed_supporting_attachment</x:v>
      </x:c>
      <x:c r="H7" s="30" t="n">
        <x:v>409</x:v>
      </x:c>
      <x:c r="I7" s="30" t="str">
        <x:v>provisional_estimate</x:v>
      </x:c>
      <x:c r="J7" s="30"/>
      <x:c r="K7" s="30"/>
      <x:c r="L7" s="33" t="str">
        <x:v>gov_jz_tourism_stats_2016;gov_jz_tourism_attachment_2015;gov_jz_report_2016</x:v>
      </x:c>
      <x:c r="M7" s="33" t="str">
        <x:v>综合收入证据层级较低；GDP为十二五回顾值</x:v>
      </x:c>
      <x:c r="N7" s="33" t="n">
        <x:v>178.1839</x:v>
      </x:c>
      <x:c r="O7" s="30" t="n">
        <x:v>713.3068</x:v>
      </x:c>
      <x:c r="P7" s="30"/>
      <x:c r="Q7" s="30"/>
      <x:c r="R7" s="30"/>
      <x:c r="S7" s="30"/>
      <x:c r="T7" s="30"/>
      <x:c r="U7" s="30"/>
      <x:c r="V7" s="30"/>
      <x:c r="W7" s="30"/>
      <x:c r="X7" s="30"/>
      <x:c r="Y7" s="36" t="n">
        <x:f>IF(AND(B7&lt;&gt;"",F7&lt;&gt;""),F7*10000/B7,"")</x:f>
        <x:v>516.8470132840679</x:v>
      </x:c>
      <x:c r="Z7" s="39" t="n">
        <x:f>IF(AND(F7&lt;&gt;"",H7&lt;&gt;""),F7/H7,"")</x:f>
        <x:v>0.22982885085574573</x:v>
      </x:c>
      <x:c r="AA7" s="39" t="str">
        <x:f>IF(AND(B7&lt;&gt;"",V7&lt;&gt;""),B7/V7,"")</x:f>
      </x:c>
      <x:c r="AB7" s="39" t="str">
        <x:f>IF(AND(F7&lt;&gt;"",W7&lt;&gt;""),F7/W7,"")</x:f>
      </x:c>
      <x:c r="AC7" s="30" t="n">
        <x:v>0</x:v>
      </x:c>
      <x:c r="AD7" s="30" t="n">
        <x:v>0</x:v>
      </x:c>
      <x:c r="AE7" s="30" t="n">
        <x:v>0</x:v>
      </x:c>
      <x:c r="AF7" s="30" t="str">
        <x:v>2010-2015</x:v>
      </x:c>
      <x:c r="AG7" s="30"/>
      <x:c r="AH7" s="33" t="str">
        <x:v>unavailable_consistent_cpi_series</x:v>
      </x:c>
    </x:row>
    <x:row r="8" ht="38" customHeight="1">
      <x:c r="A8" s="30" t="n">
        <x:v>2016</x:v>
      </x:c>
      <x:c r="B8" s="30" t="n">
        <x:v>2086</x:v>
      </x:c>
      <x:c r="C8" s="30" t="str">
        <x:v>observed_revised</x:v>
      </x:c>
      <x:c r="D8" s="30" t="n">
        <x:v>21.9172</x:v>
      </x:c>
      <x:c r="E8" s="30" t="str">
        <x:v>observed_revised</x:v>
      </x:c>
      <x:c r="F8" s="30"/>
      <x:c r="G8" s="30"/>
      <x:c r="H8" s="30" t="n">
        <x:v>430</x:v>
      </x:c>
      <x:c r="I8" s="30" t="str">
        <x:v>provisional_estimate</x:v>
      </x:c>
      <x:c r="J8" s="30"/>
      <x:c r="K8" s="30"/>
      <x:c r="L8" s="33" t="str">
        <x:v>gov_jz_tourism_stats_2017;gov_jz_report_2017</x:v>
      </x:c>
      <x:c r="M8" s="33" t="str">
        <x:v>未找到同口径综合收入；GDP为报告预计值</x:v>
      </x:c>
      <x:c r="N8" s="33" t="n">
        <x:v>184.3526</x:v>
      </x:c>
      <x:c r="O8" s="30" t="n">
        <x:v>788.6939</x:v>
      </x:c>
      <x:c r="P8" s="30" t="n">
        <x:v>23042</x:v>
      </x:c>
      <x:c r="Q8" s="30" t="n">
        <x:v>19165</x:v>
      </x:c>
      <x:c r="R8" s="30"/>
      <x:c r="S8" s="30"/>
      <x:c r="T8" s="30"/>
      <x:c r="U8" s="30"/>
      <x:c r="V8" s="30"/>
      <x:c r="W8" s="30"/>
      <x:c r="X8" s="30"/>
      <x:c r="Y8" s="36" t="str">
        <x:f>IF(AND(B8&lt;&gt;"",F8&lt;&gt;""),F8*10000/B8,"")</x:f>
      </x:c>
      <x:c r="Z8" s="39" t="str">
        <x:f>IF(AND(F8&lt;&gt;"",H8&lt;&gt;""),F8/H8,"")</x:f>
      </x:c>
      <x:c r="AA8" s="39" t="str">
        <x:f>IF(AND(B8&lt;&gt;"",V8&lt;&gt;""),B8/V8,"")</x:f>
      </x:c>
      <x:c r="AB8" s="39" t="str">
        <x:f>IF(AND(F8&lt;&gt;"",W8&lt;&gt;""),F8/W8,"")</x:f>
      </x:c>
      <x:c r="AC8" s="30" t="n">
        <x:v>0</x:v>
      </x:c>
      <x:c r="AD8" s="30" t="n">
        <x:v>0</x:v>
      </x:c>
      <x:c r="AE8" s="30" t="n">
        <x:v>0</x:v>
      </x:c>
      <x:c r="AF8" s="30" t="str">
        <x:v>2016-2020</x:v>
      </x:c>
      <x:c r="AG8" s="30"/>
      <x:c r="AH8" s="33" t="str">
        <x:v>unavailable_consistent_cpi_series</x:v>
      </x:c>
    </x:row>
    <x:row r="9" ht="38" customHeight="1">
      <x:c r="A9" s="30" t="n">
        <x:v>2017</x:v>
      </x:c>
      <x:c r="B9" s="30" t="n">
        <x:v>2392</x:v>
      </x:c>
      <x:c r="C9" s="30" t="str">
        <x:v>observed</x:v>
      </x:c>
      <x:c r="D9" s="30" t="n">
        <x:v>26.1347</x:v>
      </x:c>
      <x:c r="E9" s="30" t="str">
        <x:v>observed</x:v>
      </x:c>
      <x:c r="F9" s="30" t="n">
        <x:v>130</x:v>
      </x:c>
      <x:c r="G9" s="30" t="str">
        <x:v>observed_rounded</x:v>
      </x:c>
      <x:c r="H9" s="30"/>
      <x:c r="I9" s="30"/>
      <x:c r="J9" s="30"/>
      <x:c r="K9" s="30"/>
      <x:c r="L9" s="33" t="str">
        <x:v>gov_jz_tourism_stats_2017;gov_jz_report_2018</x:v>
      </x:c>
      <x:c r="M9" s="33" t="str">
        <x:v>工作报告游客约数2400未覆盖统计表精确值2392</x:v>
      </x:c>
      <x:c r="N9" s="33" t="n">
        <x:v>188.817</x:v>
      </x:c>
      <x:c r="O9" s="30" t="n">
        <x:v>758.0224</x:v>
      </x:c>
      <x:c r="P9" s="30" t="n">
        <x:v>31182</x:v>
      </x:c>
      <x:c r="Q9" s="30" t="n">
        <x:v>20774</x:v>
      </x:c>
      <x:c r="R9" s="30"/>
      <x:c r="S9" s="30"/>
      <x:c r="T9" s="30"/>
      <x:c r="U9" s="30"/>
      <x:c r="V9" s="30"/>
      <x:c r="W9" s="30"/>
      <x:c r="X9" s="30"/>
      <x:c r="Y9" s="36" t="n">
        <x:f>IF(AND(B9&lt;&gt;"",F9&lt;&gt;""),F9*10000/B9,"")</x:f>
        <x:v>543.4782608695652</x:v>
      </x:c>
      <x:c r="Z9" s="39" t="str">
        <x:f>IF(AND(F9&lt;&gt;"",H9&lt;&gt;""),F9/H9,"")</x:f>
      </x:c>
      <x:c r="AA9" s="39" t="str">
        <x:f>IF(AND(B9&lt;&gt;"",V9&lt;&gt;""),B9/V9,"")</x:f>
      </x:c>
      <x:c r="AB9" s="39" t="str">
        <x:f>IF(AND(F9&lt;&gt;"",W9&lt;&gt;""),F9/W9,"")</x:f>
      </x:c>
      <x:c r="AC9" s="30" t="n">
        <x:v>0</x:v>
      </x:c>
      <x:c r="AD9" s="30" t="n">
        <x:v>0</x:v>
      </x:c>
      <x:c r="AE9" s="30" t="n">
        <x:v>0</x:v>
      </x:c>
      <x:c r="AF9" s="30" t="str">
        <x:v>2016-2020</x:v>
      </x:c>
      <x:c r="AG9" s="30"/>
      <x:c r="AH9" s="33" t="str">
        <x:v>unavailable_consistent_cpi_series</x:v>
      </x:c>
    </x:row>
    <x:row r="10" ht="38" customHeight="1">
      <x:c r="A10" s="30" t="n">
        <x:v>2018</x:v>
      </x:c>
      <x:c r="B10" s="30" t="n">
        <x:v>2660</x:v>
      </x:c>
      <x:c r="C10" s="30" t="str">
        <x:v>observed_rounded</x:v>
      </x:c>
      <x:c r="D10" s="30"/>
      <x:c r="E10" s="30"/>
      <x:c r="F10" s="30" t="n">
        <x:v>142</x:v>
      </x:c>
      <x:c r="G10" s="30" t="str">
        <x:v>observed_rounded</x:v>
      </x:c>
      <x:c r="H10" s="30" t="n">
        <x:v>380</x:v>
      </x:c>
      <x:c r="I10" s="30" t="str">
        <x:v>provisional_estimate</x:v>
      </x:c>
      <x:c r="J10" s="30"/>
      <x:c r="K10" s="30"/>
      <x:c r="L10" s="33" t="str">
        <x:v>gov_jz_report_2019</x:v>
      </x:c>
      <x:c r="M10" s="33" t="str">
        <x:v>GDP为工作报告预计值</x:v>
      </x:c>
      <x:c r="N10" s="33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6" t="n">
        <x:f>IF(AND(B10&lt;&gt;"",F10&lt;&gt;""),F10*10000/B10,"")</x:f>
        <x:v>533.8345864661654</x:v>
      </x:c>
      <x:c r="Z10" s="39" t="n">
        <x:f>IF(AND(F10&lt;&gt;"",H10&lt;&gt;""),F10/H10,"")</x:f>
        <x:v>0.3736842105263158</x:v>
      </x:c>
      <x:c r="AA10" s="39" t="str">
        <x:f>IF(AND(B10&lt;&gt;"",V10&lt;&gt;""),B10/V10,"")</x:f>
      </x:c>
      <x:c r="AB10" s="39" t="str">
        <x:f>IF(AND(F10&lt;&gt;"",W10&lt;&gt;""),F10/W10,"")</x:f>
      </x:c>
      <x:c r="AC10" s="30" t="n">
        <x:v>0</x:v>
      </x:c>
      <x:c r="AD10" s="30" t="n">
        <x:v>0</x:v>
      </x:c>
      <x:c r="AE10" s="30" t="n">
        <x:v>0</x:v>
      </x:c>
      <x:c r="AF10" s="30" t="str">
        <x:v>2016-2020</x:v>
      </x:c>
      <x:c r="AG10" s="30"/>
      <x:c r="AH10" s="33" t="str">
        <x:v>unavailable_consistent_cpi_series</x:v>
      </x:c>
    </x:row>
    <x:row r="11" ht="38" customHeight="1">
      <x:c r="A11" s="30" t="n">
        <x:v>2019</x:v>
      </x:c>
      <x:c r="B11" s="30" t="n">
        <x:v>2800</x:v>
      </x:c>
      <x:c r="C11" s="30" t="str">
        <x:v>observed_rounded</x:v>
      </x:c>
      <x:c r="D11" s="30"/>
      <x:c r="E11" s="30"/>
      <x:c r="F11" s="30" t="n">
        <x:v>165</x:v>
      </x:c>
      <x:c r="G11" s="30" t="str">
        <x:v>observed_rounded</x:v>
      </x:c>
      <x:c r="H11" s="30" t="n">
        <x:v>210.8</x:v>
      </x:c>
      <x:c r="I11" s="30" t="str">
        <x:v>official_initial</x:v>
      </x:c>
      <x:c r="J11" s="30" t="n">
        <x:v>129.92</x:v>
      </x:c>
      <x:c r="K11" s="30" t="str">
        <x:v>official_initial</x:v>
      </x:c>
      <x:c r="L11" s="33" t="str">
        <x:v>gov_jz_report_2020;gov_jz_bulletin_2019</x:v>
      </x:c>
      <x:c r="M11" s="33" t="str">
        <x:v>宏观序列与2018年前口径存在明显断点</x:v>
      </x:c>
      <x:c r="N11" s="33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6" t="n">
        <x:f>IF(AND(B11&lt;&gt;"",F11&lt;&gt;""),F11*10000/B11,"")</x:f>
        <x:v>589.2857142857143</x:v>
      </x:c>
      <x:c r="Z11" s="39" t="n">
        <x:f>IF(AND(F11&lt;&gt;"",H11&lt;&gt;""),F11/H11,"")</x:f>
        <x:v>0.7827324478178368</x:v>
      </x:c>
      <x:c r="AA11" s="39" t="str">
        <x:f>IF(AND(B11&lt;&gt;"",V11&lt;&gt;""),B11/V11,"")</x:f>
      </x:c>
      <x:c r="AB11" s="39" t="str">
        <x:f>IF(AND(F11&lt;&gt;"",W11&lt;&gt;""),F11/W11,"")</x:f>
      </x:c>
      <x:c r="AC11" s="30" t="n">
        <x:v>0</x:v>
      </x:c>
      <x:c r="AD11" s="30" t="n">
        <x:v>0</x:v>
      </x:c>
      <x:c r="AE11" s="30" t="n">
        <x:v>1</x:v>
      </x:c>
      <x:c r="AF11" s="30" t="str">
        <x:v>2016-2020</x:v>
      </x:c>
      <x:c r="AG11" s="30"/>
      <x:c r="AH11" s="33" t="str">
        <x:v>unavailable_consistent_cpi_series</x:v>
      </x:c>
    </x:row>
    <x:row r="12" ht="38" customHeight="1">
      <x:c r="A12" s="30" t="n">
        <x:v>2020</x:v>
      </x:c>
      <x:c r="B12" s="30"/>
      <x:c r="C12" s="30"/>
      <x:c r="D12" s="30"/>
      <x:c r="E12" s="30"/>
      <x:c r="F12" s="30"/>
      <x:c r="G12" s="30"/>
      <x:c r="H12" s="30" t="n">
        <x:v>224.6</x:v>
      </x:c>
      <x:c r="I12" s="30" t="str">
        <x:v>official_initial</x:v>
      </x:c>
      <x:c r="J12" s="30" t="n">
        <x:v>142.55</x:v>
      </x:c>
      <x:c r="K12" s="30" t="str">
        <x:v>official_initial</x:v>
      </x:c>
      <x:c r="L12" s="33" t="str">
        <x:v>gov_jz_bulletin_2020</x:v>
      </x:c>
      <x:c r="M12" s="33" t="str">
        <x:v>疫情年份未找到可核验的年度旅游总量</x:v>
      </x:c>
      <x:c r="N12" s="33"/>
      <x:c r="O12" s="30"/>
      <x:c r="P12" s="30"/>
      <x:c r="Q12" s="30"/>
      <x:c r="R12" s="30"/>
      <x:c r="S12" s="30"/>
      <x:c r="T12" s="30" t="n">
        <x:v>81.5</x:v>
      </x:c>
      <x:c r="U12" s="30"/>
      <x:c r="V12" s="30" t="n">
        <x:v>14100</x:v>
      </x:c>
      <x:c r="W12" s="30" t="n">
        <x:v>1331.42</x:v>
      </x:c>
      <x:c r="X12" s="30" t="str">
        <x:v>gov_tj_bulletin_2020_tourism</x:v>
      </x:c>
      <x:c r="Y12" s="36" t="str">
        <x:f>IF(AND(B12&lt;&gt;"",F12&lt;&gt;""),F12*10000/B12,"")</x:f>
      </x:c>
      <x:c r="Z12" s="39" t="str">
        <x:f>IF(AND(F12&lt;&gt;"",H12&lt;&gt;""),F12/H12,"")</x:f>
      </x:c>
      <x:c r="AA12" s="39" t="str">
        <x:f>IF(AND(B12&lt;&gt;"",V12&lt;&gt;""),B12/V12,"")</x:f>
      </x:c>
      <x:c r="AB12" s="39" t="str">
        <x:f>IF(AND(F12&lt;&gt;"",W12&lt;&gt;""),F12/W12,"")</x:f>
      </x:c>
      <x:c r="AC12" s="30" t="n">
        <x:v>1</x:v>
      </x:c>
      <x:c r="AD12" s="30" t="n">
        <x:v>0</x:v>
      </x:c>
      <x:c r="AE12" s="30" t="n">
        <x:v>0</x:v>
      </x:c>
      <x:c r="AF12" s="30" t="str">
        <x:v>2016-2020</x:v>
      </x:c>
      <x:c r="AG12" s="30"/>
      <x:c r="AH12" s="33" t="str">
        <x:v>unavailable_consistent_cpi_series</x:v>
      </x:c>
    </x:row>
    <x:row r="13" ht="38" customHeight="1">
      <x:c r="A13" s="30" t="n">
        <x:v>2021</x:v>
      </x:c>
      <x:c r="B13" s="30"/>
      <x:c r="C13" s="30"/>
      <x:c r="D13" s="30"/>
      <x:c r="E13" s="30"/>
      <x:c r="F13" s="30" t="n">
        <x:v>110</x:v>
      </x:c>
      <x:c r="G13" s="30" t="str">
        <x:v>observed_rounded</x:v>
      </x:c>
      <x:c r="H13" s="30" t="n">
        <x:v>274.2034</x:v>
      </x:c>
      <x:c r="I13" s="30" t="str">
        <x:v>official_revised</x:v>
      </x:c>
      <x:c r="J13" s="30" t="n">
        <x:v>161.9732</x:v>
      </x:c>
      <x:c r="K13" s="30" t="str">
        <x:v>official_revised</x:v>
      </x:c>
      <x:c r="L13" s="33" t="str">
        <x:v>gov_jz_report_2022;gov_jz_yearbook_2022</x:v>
      </x:c>
      <x:c r="M13" s="33" t="str">
        <x:v>未找到精确游客量；宏观指标采用后版年鉴修订值</x:v>
      </x:c>
      <x:c r="N13" s="33" t="n">
        <x:v>55.45</x:v>
      </x:c>
      <x:c r="O13" s="30"/>
      <x:c r="P13" s="30"/>
      <x:c r="Q13" s="30"/>
      <x:c r="R13" s="30"/>
      <x:c r="S13" s="30"/>
      <x:c r="T13" s="30" t="n">
        <x:v>115.12</x:v>
      </x:c>
      <x:c r="U13" s="30"/>
      <x:c r="V13" s="30" t="n">
        <x:v>17900</x:v>
      </x:c>
      <x:c r="W13" s="30" t="n">
        <x:v>1968.81</x:v>
      </x:c>
      <x:c r="X13" s="30" t="str">
        <x:v>gov_tj_bulletin_2021_tourism</x:v>
      </x:c>
      <x:c r="Y13" s="36" t="str">
        <x:f>IF(AND(B13&lt;&gt;"",F13&lt;&gt;""),F13*10000/B13,"")</x:f>
      </x:c>
      <x:c r="Z13" s="39" t="n">
        <x:f>IF(AND(F13&lt;&gt;"",H13&lt;&gt;""),F13/H13,"")</x:f>
        <x:v>0.40116205707150243</x:v>
      </x:c>
      <x:c r="AA13" s="39" t="str">
        <x:f>IF(AND(B13&lt;&gt;"",V13&lt;&gt;""),B13/V13,"")</x:f>
      </x:c>
      <x:c r="AB13" s="39" t="n">
        <x:f>IF(AND(F13&lt;&gt;"",W13&lt;&gt;""),F13/W13,"")</x:f>
        <x:v>0.055871313128234824</x:v>
      </x:c>
      <x:c r="AC13" s="30" t="n">
        <x:v>1</x:v>
      </x:c>
      <x:c r="AD13" s="30" t="n">
        <x:v>0</x:v>
      </x:c>
      <x:c r="AE13" s="30" t="n">
        <x:v>0</x:v>
      </x:c>
      <x:c r="AF13" s="30" t="str">
        <x:v>2021-2025</x:v>
      </x:c>
      <x:c r="AG13" s="30"/>
      <x:c r="AH13" s="33" t="str">
        <x:v>unavailable_consistent_cpi_series</x:v>
      </x:c>
    </x:row>
    <x:row r="14" ht="38" customHeight="1">
      <x:c r="A14" s="30" t="n">
        <x:v>2022</x:v>
      </x:c>
      <x:c r="B14" s="30"/>
      <x:c r="C14" s="30"/>
      <x:c r="D14" s="30"/>
      <x:c r="E14" s="30"/>
      <x:c r="F14" s="30"/>
      <x:c r="G14" s="30"/>
      <x:c r="H14" s="30" t="n">
        <x:v>282.2414</x:v>
      </x:c>
      <x:c r="I14" s="30" t="str">
        <x:v>official_revised</x:v>
      </x:c>
      <x:c r="J14" s="30" t="n">
        <x:v>171.2106</x:v>
      </x:c>
      <x:c r="K14" s="30" t="str">
        <x:v>official_revised</x:v>
      </x:c>
      <x:c r="L14" s="33" t="str">
        <x:v>gov_jz_yearbook_2023</x:v>
      </x:c>
      <x:c r="M14" s="33" t="str">
        <x:v>未找到可核验的年度游客量及实际综合收入</x:v>
      </x:c>
      <x:c r="N14" s="33" t="n">
        <x:v>55.58</x:v>
      </x:c>
      <x:c r="O14" s="30"/>
      <x:c r="P14" s="30"/>
      <x:c r="Q14" s="30"/>
      <x:c r="R14" s="30"/>
      <x:c r="S14" s="30"/>
      <x:c r="T14" s="30" t="n">
        <x:v>92.8</x:v>
      </x:c>
      <x:c r="U14" s="30" t="n">
        <x:v>7445</x:v>
      </x:c>
      <x:c r="V14" s="30"/>
      <x:c r="W14" s="30"/>
      <x:c r="X14" s="30"/>
      <x:c r="Y14" s="36" t="str">
        <x:f>IF(AND(B14&lt;&gt;"",F14&lt;&gt;""),F14*10000/B14,"")</x:f>
      </x:c>
      <x:c r="Z14" s="39" t="str">
        <x:f>IF(AND(F14&lt;&gt;"",H14&lt;&gt;""),F14/H14,"")</x:f>
      </x:c>
      <x:c r="AA14" s="39" t="str">
        <x:f>IF(AND(B14&lt;&gt;"",V14&lt;&gt;""),B14/V14,"")</x:f>
      </x:c>
      <x:c r="AB14" s="39" t="str">
        <x:f>IF(AND(F14&lt;&gt;"",W14&lt;&gt;""),F14/W14,"")</x:f>
      </x:c>
      <x:c r="AC14" s="30" t="n">
        <x:v>1</x:v>
      </x:c>
      <x:c r="AD14" s="30" t="n">
        <x:v>0</x:v>
      </x:c>
      <x:c r="AE14" s="30" t="n">
        <x:v>0</x:v>
      </x:c>
      <x:c r="AF14" s="30" t="str">
        <x:v>2021-2025</x:v>
      </x:c>
      <x:c r="AG14" s="30"/>
      <x:c r="AH14" s="33" t="str">
        <x:v>unavailable_consistent_cpi_series</x:v>
      </x:c>
    </x:row>
    <x:row r="15" ht="38" customHeight="1">
      <x:c r="A15" s="30" t="n">
        <x:v>2023</x:v>
      </x:c>
      <x:c r="B15" s="30" t="n">
        <x:v>2363</x:v>
      </x:c>
      <x:c r="C15" s="30" t="str">
        <x:v>observed_rounded</x:v>
      </x:c>
      <x:c r="D15" s="30"/>
      <x:c r="E15" s="30"/>
      <x:c r="F15" s="30" t="n">
        <x:v>191.5</x:v>
      </x:c>
      <x:c r="G15" s="30" t="str">
        <x:v>observed</x:v>
      </x:c>
      <x:c r="H15" s="30" t="n">
        <x:v>288.3062</x:v>
      </x:c>
      <x:c r="I15" s="30" t="str">
        <x:v>official_final</x:v>
      </x:c>
      <x:c r="J15" s="30" t="n">
        <x:v>176.1714</x:v>
      </x:c>
      <x:c r="K15" s="30" t="str">
        <x:v>official_final</x:v>
      </x:c>
      <x:c r="L15" s="33" t="str">
        <x:v>gov_jz_report_2024;gov_jz_yearbook_2024</x:v>
      </x:c>
      <x:c r="M15" s="33" t="str">
        <x:v>宏观指标采用2024年鉴最终核实值</x:v>
      </x:c>
      <x:c r="N15" s="33" t="n">
        <x:v>57.71</x:v>
      </x:c>
      <x:c r="O15" s="30"/>
      <x:c r="P15" s="30"/>
      <x:c r="Q15" s="30"/>
      <x:c r="R15" s="30"/>
      <x:c r="S15" s="30"/>
      <x:c r="T15" s="30" t="n">
        <x:v>78.89</x:v>
      </x:c>
      <x:c r="U15" s="30" t="n">
        <x:v>5677</x:v>
      </x:c>
      <x:c r="V15" s="30" t="n">
        <x:v>23600</x:v>
      </x:c>
      <x:c r="W15" s="30" t="n">
        <x:v>2215.41</x:v>
      </x:c>
      <x:c r="X15" s="30" t="str">
        <x:v>gov_tj_bulletin_2023_tourism</x:v>
      </x:c>
      <x:c r="Y15" s="36" t="n">
        <x:f>IF(AND(B15&lt;&gt;"",F15&lt;&gt;""),F15*10000/B15,"")</x:f>
        <x:v>810.4104951333052</x:v>
      </x:c>
      <x:c r="Z15" s="39" t="n">
        <x:f>IF(AND(F15&lt;&gt;"",H15&lt;&gt;""),F15/H15,"")</x:f>
        <x:v>0.6642243559104869</x:v>
      </x:c>
      <x:c r="AA15" s="39" t="n">
        <x:f>IF(AND(B15&lt;&gt;"",V15&lt;&gt;""),B15/V15,"")</x:f>
        <x:v>0.1001271186440678</x:v>
      </x:c>
      <x:c r="AB15" s="39" t="n">
        <x:f>IF(AND(F15&lt;&gt;"",W15&lt;&gt;""),F15/W15,"")</x:f>
        <x:v>0.08643998176409785</x:v>
      </x:c>
      <x:c r="AC15" s="30" t="n">
        <x:v>0</x:v>
      </x:c>
      <x:c r="AD15" s="30" t="n">
        <x:v>1</x:v>
      </x:c>
      <x:c r="AE15" s="30" t="n">
        <x:v>0</x:v>
      </x:c>
      <x:c r="AF15" s="30" t="str">
        <x:v>2021-2025</x:v>
      </x:c>
      <x:c r="AG15" s="30"/>
      <x:c r="AH15" s="33" t="str">
        <x:v>unavailable_consistent_cpi_series</x:v>
      </x:c>
    </x:row>
    <x:row r="16" ht="38" customHeight="1">
      <x:c r="A16" s="30" t="n">
        <x:v>2024</x:v>
      </x:c>
      <x:c r="B16" s="30" t="n">
        <x:v>2643</x:v>
      </x:c>
      <x:c r="C16" s="30" t="str">
        <x:v>observed_rounded</x:v>
      </x:c>
      <x:c r="D16" s="30"/>
      <x:c r="E16" s="30"/>
      <x:c r="F16" s="30" t="n">
        <x:v>221</x:v>
      </x:c>
      <x:c r="G16" s="30" t="str">
        <x:v>observed_rounded</x:v>
      </x:c>
      <x:c r="H16" s="30" t="n">
        <x:v>298.865</x:v>
      </x:c>
      <x:c r="I16" s="30" t="str">
        <x:v>official_yearbook</x:v>
      </x:c>
      <x:c r="J16" s="30" t="n">
        <x:v>183.9654</x:v>
      </x:c>
      <x:c r="K16" s="30" t="str">
        <x:v>official_yearbook</x:v>
      </x:c>
      <x:c r="L16" s="33" t="str">
        <x:v>gov_jz_report_2025;gov_jz_yearbook_2024</x:v>
      </x:c>
      <x:c r="M16" s="33" t="str">
        <x:v>宏观指标采用2024年鉴现价值</x:v>
      </x:c>
      <x:c r="N16" s="33" t="n">
        <x:v>58.88</x:v>
      </x:c>
      <x:c r="O16" s="30"/>
      <x:c r="P16" s="30"/>
      <x:c r="Q16" s="30"/>
      <x:c r="R16" s="30"/>
      <x:c r="S16" s="30"/>
      <x:c r="T16" s="30" t="n">
        <x:v>74.2</x:v>
      </x:c>
      <x:c r="U16" s="30" t="n">
        <x:v>5110</x:v>
      </x:c>
      <x:c r="V16" s="30" t="n">
        <x:v>26100</x:v>
      </x:c>
      <x:c r="W16" s="30" t="n">
        <x:v>2930.98</x:v>
      </x:c>
      <x:c r="X16" s="30" t="str">
        <x:v>gov_tj_bulletin_2024_tourism</x:v>
      </x:c>
      <x:c r="Y16" s="36" t="n">
        <x:f>IF(AND(B16&lt;&gt;"",F16&lt;&gt;""),F16*10000/B16,"")</x:f>
        <x:v>836.1710177828226</x:v>
      </x:c>
      <x:c r="Z16" s="39" t="n">
        <x:f>IF(AND(F16&lt;&gt;"",H16&lt;&gt;""),F16/H16,"")</x:f>
        <x:v>0.7394643066267378</x:v>
      </x:c>
      <x:c r="AA16" s="39" t="n">
        <x:f>IF(AND(B16&lt;&gt;"",V16&lt;&gt;""),B16/V16,"")</x:f>
        <x:v>0.10126436781609195</x:v>
      </x:c>
      <x:c r="AB16" s="39" t="n">
        <x:f>IF(AND(F16&lt;&gt;"",W16&lt;&gt;""),F16/W16,"")</x:f>
        <x:v>0.07540140157899405</x:v>
      </x:c>
      <x:c r="AC16" s="30" t="n">
        <x:v>0</x:v>
      </x:c>
      <x:c r="AD16" s="30" t="n">
        <x:v>1</x:v>
      </x:c>
      <x:c r="AE16" s="30" t="n">
        <x:v>0</x:v>
      </x:c>
      <x:c r="AF16" s="30" t="str">
        <x:v>2021-2025</x:v>
      </x:c>
      <x:c r="AG16" s="30"/>
      <x:c r="AH16" s="33" t="str">
        <x:v>unavailable_consistent_cpi_series</x:v>
      </x:c>
    </x:row>
    <x:row r="17" ht="38" customHeight="1">
      <x:c r="A17" s="31" t="n">
        <x:v>2025</x:v>
      </x:c>
      <x:c r="B17" s="31"/>
      <x:c r="C17" s="31"/>
      <x:c r="D17" s="31"/>
      <x:c r="E17" s="31"/>
      <x:c r="F17" s="31"/>
      <x:c r="G17" s="31"/>
      <x:c r="H17" s="31" t="n">
        <x:v>311.94</x:v>
      </x:c>
      <x:c r="I17" s="31" t="str">
        <x:v>official_initial</x:v>
      </x:c>
      <x:c r="J17" s="31" t="n">
        <x:v>195.17</x:v>
      </x:c>
      <x:c r="K17" s="31" t="str">
        <x:v>official_initial</x:v>
      </x:c>
      <x:c r="L17" s="34" t="str">
        <x:v>gov_jz_bulletin_2025</x:v>
      </x:c>
      <x:c r="M17" s="34" t="str">
        <x:v>政府报告仅给2025年目标和2021至2025累计值；不作为年度实际</x:v>
      </x:c>
      <x:c r="N17" s="34" t="n">
        <x:v>75.58</x:v>
      </x:c>
      <x:c r="O17" s="31"/>
      <x:c r="P17" s="31"/>
      <x:c r="Q17" s="31"/>
      <x:c r="R17" s="31"/>
      <x:c r="S17" s="31"/>
      <x:c r="T17" s="31" t="n">
        <x:v>83.76</x:v>
      </x:c>
      <x:c r="U17" s="31"/>
      <x:c r="V17" s="31"/>
      <x:c r="W17" s="31"/>
      <x:c r="X17" s="31"/>
      <x:c r="Y17" s="37" t="str">
        <x:f>IF(AND(B17&lt;&gt;"",F17&lt;&gt;""),F17*10000/B17,"")</x:f>
      </x:c>
      <x:c r="Z17" s="40" t="str">
        <x:f>IF(AND(F17&lt;&gt;"",H17&lt;&gt;""),F17/H17,"")</x:f>
      </x:c>
      <x:c r="AA17" s="40" t="str">
        <x:f>IF(AND(B17&lt;&gt;"",V17&lt;&gt;""),B17/V17,"")</x:f>
      </x:c>
      <x:c r="AB17" s="40" t="str">
        <x:f>IF(AND(F17&lt;&gt;"",W17&lt;&gt;""),F17/W17,"")</x:f>
      </x:c>
      <x:c r="AC17" s="31" t="n">
        <x:v>0</x:v>
      </x:c>
      <x:c r="AD17" s="31" t="n">
        <x:v>1</x:v>
      </x:c>
      <x:c r="AE17" s="31" t="n">
        <x:v>0</x:v>
      </x:c>
      <x:c r="AF17" s="31" t="str">
        <x:v>2021-2025</x:v>
      </x:c>
      <x:c r="AG17" s="31"/>
      <x:c r="AH17" s="34" t="str">
        <x:v>unavailable_consistent_cpi_series</x:v>
      </x:c>
    </x:row>
  </x:sheetData>
  <x:pageMargins left="0.7" right="0.7" top="0.75" bottom="0.75" header="0.3" footer="0.3"/>
  <x:tableParts count="1">
    <x:tablePart xmlns:r="http://schemas.openxmlformats.org/officeDocument/2006/relationships" r:id="Ra0150ca6b1be4c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48" hidden="0" customWidth="1"/>
    <x:col min="13" max="13" width="34" hidden="0" customWidth="1"/>
  </x:cols>
  <x:sheetData>
    <x:row r="1" ht="50" customHeight="1">
      <x:c r="A1" s="23" t="str">
        <x:v>dataset</x:v>
      </x:c>
      <x:c r="B1" s="24" t="str">
        <x:v>year</x:v>
      </x:c>
      <x:c r="C1" s="24" t="str">
        <x:v>period_start</x:v>
      </x:c>
      <x:c r="D1" s="24" t="str">
        <x:v>period_end</x:v>
      </x:c>
      <x:c r="E1" s="24" t="str">
        <x:v>period_type</x:v>
      </x:c>
      <x:c r="F1" s="24" t="str">
        <x:v>metric</x:v>
      </x:c>
      <x:c r="G1" s="24" t="str">
        <x:v>value</x:v>
      </x:c>
      <x:c r="H1" s="24" t="str">
        <x:v>unit</x:v>
      </x:c>
      <x:c r="I1" s="24" t="str">
        <x:v>value_status</x:v>
      </x:c>
      <x:c r="J1" s="24" t="str">
        <x:v>source_id</x:v>
      </x:c>
      <x:c r="K1" s="24" t="str">
        <x:v>evidence_tier</x:v>
      </x:c>
      <x:c r="L1" s="24" t="str">
        <x:v>source_url</x:v>
      </x:c>
      <x:c r="M1" s="25" t="str">
        <x:v>notes</x:v>
      </x:c>
    </x:row>
    <x:row r="2" ht="42" customHeight="1">
      <x:c r="A2" s="29" t="str">
        <x:v>macro</x:v>
      </x:c>
      <x:c r="B2" s="41" t="n">
        <x:v>2010</x:v>
      </x:c>
      <x:c r="C2" s="29" t="n">
        <x:v>2010</x:v>
      </x:c>
      <x:c r="D2" s="29" t="n">
        <x:v>2010</x:v>
      </x:c>
      <x:c r="E2" s="29" t="str">
        <x:v>annual</x:v>
      </x:c>
      <x:c r="F2" s="29" t="str">
        <x:v>gdp</x:v>
      </x:c>
      <x:c r="G2" s="29" t="n">
        <x:v>208</x:v>
      </x:c>
      <x:c r="H2" s="29" t="str">
        <x:v>100m_cny</x:v>
      </x:c>
      <x:c r="I2" s="29" t="str">
        <x:v>provisional_estimate</x:v>
      </x:c>
      <x:c r="J2" s="29" t="str">
        <x:v>gov_jz_report_2011</x:v>
      </x:c>
      <x:c r="K2" s="29" t="n">
        <x:v>1</x:v>
      </x:c>
      <x:c r="L2" s="32" t="str">
        <x:v>https://www.tjjz.gov.cn/zwgk/ZFGZBG_20201207/202012/t20201227_5202964.html</x:v>
      </x:c>
      <x:c r="M2" s="32" t="str">
        <x:v>报告中的预计值</x:v>
      </x:c>
    </x:row>
    <x:row r="3" ht="42" customHeight="1">
      <x:c r="A3" s="30" t="str">
        <x:v>macro</x:v>
      </x:c>
      <x:c r="B3" s="42" t="n">
        <x:v>2010</x:v>
      </x:c>
      <x:c r="C3" s="30" t="n">
        <x:v>2010</x:v>
      </x:c>
      <x:c r="D3" s="30" t="n">
        <x:v>2010</x:v>
      </x:c>
      <x:c r="E3" s="30" t="str">
        <x:v>annual</x:v>
      </x:c>
      <x:c r="F3" s="30" t="str">
        <x:v>gdp</x:v>
      </x:c>
      <x:c r="G3" s="30" t="n">
        <x:v>215.47</x:v>
      </x:c>
      <x:c r="H3" s="30" t="str">
        <x:v>100m_cny</x:v>
      </x:c>
      <x:c r="I3" s="30" t="str">
        <x:v>official_yearbook</x:v>
      </x:c>
      <x:c r="J3" s="30" t="str">
        <x:v>gov_tj_yearbook_2011_jixian</x:v>
      </x:c>
      <x:c r="K3" s="30" t="n">
        <x:v>1</x:v>
      </x:c>
      <x:c r="L3" s="33" t="str">
        <x:v>https://stats.tj.gov.cn/nianjian/2011nj/html/2316.htm</x:v>
      </x:c>
      <x:c r="M3" s="33" t="str">
        <x:v>天津统计年鉴回列值；优选</x:v>
      </x:c>
    </x:row>
    <x:row r="4" ht="42" customHeight="1">
      <x:c r="A4" s="30" t="str">
        <x:v>macro</x:v>
      </x:c>
      <x:c r="B4" s="42" t="n">
        <x:v>2010</x:v>
      </x:c>
      <x:c r="C4" s="30" t="n">
        <x:v>2010</x:v>
      </x:c>
      <x:c r="D4" s="30" t="n">
        <x:v>2010</x:v>
      </x:c>
      <x:c r="E4" s="30" t="str">
        <x:v>annual</x:v>
      </x:c>
      <x:c r="F4" s="30" t="str">
        <x:v>tertiary_value_added</x:v>
      </x:c>
      <x:c r="G4" s="30" t="n">
        <x:v>136.23</x:v>
      </x:c>
      <x:c r="H4" s="30" t="str">
        <x:v>100m_cny</x:v>
      </x:c>
      <x:c r="I4" s="30" t="str">
        <x:v>official_yearbook</x:v>
      </x:c>
      <x:c r="J4" s="30" t="str">
        <x:v>gov_tj_yearbook_2011_jixian</x:v>
      </x:c>
      <x:c r="K4" s="30" t="n">
        <x:v>1</x:v>
      </x:c>
      <x:c r="L4" s="33" t="str">
        <x:v>https://stats.tj.gov.cn/nianjian/2011nj/html/2316.htm</x:v>
      </x:c>
      <x:c r="M4" s="33" t="str">
        <x:v>天津统计年鉴回列值；优选</x:v>
      </x:c>
    </x:row>
    <x:row r="5" ht="42" customHeight="1">
      <x:c r="A5" s="30" t="str">
        <x:v>macro</x:v>
      </x:c>
      <x:c r="B5" s="42" t="n">
        <x:v>2011</x:v>
      </x:c>
      <x:c r="C5" s="30" t="n">
        <x:v>2011</x:v>
      </x:c>
      <x:c r="D5" s="30" t="n">
        <x:v>2011</x:v>
      </x:c>
      <x:c r="E5" s="30" t="str">
        <x:v>annual</x:v>
      </x:c>
      <x:c r="F5" s="30" t="str">
        <x:v>gdp</x:v>
      </x:c>
      <x:c r="G5" s="30" t="n">
        <x:v>264.5</x:v>
      </x:c>
      <x:c r="H5" s="30" t="str">
        <x:v>100m_cny</x:v>
      </x:c>
      <x:c r="I5" s="30" t="str">
        <x:v>official_initial</x:v>
      </x:c>
      <x:c r="J5" s="30" t="str">
        <x:v>gov_jz_bulletin_2011</x:v>
      </x:c>
      <x:c r="K5" s="30" t="n">
        <x:v>1</x:v>
      </x:c>
      <x:c r="L5" s="33" t="str">
        <x:v>https://www.tjjz.gov.cn/zwgk/zfxxgkqjjg/tjj1/fdzdgknr34/tjxx34/202012/t20201227_5212509.html</x:v>
      </x:c>
      <x:c r="M5" s="33" t="str">
        <x:v>初步核算值</x:v>
      </x:c>
    </x:row>
    <x:row r="6" ht="42" customHeight="1">
      <x:c r="A6" s="30" t="str">
        <x:v>macro</x:v>
      </x:c>
      <x:c r="B6" s="42" t="n">
        <x:v>2011</x:v>
      </x:c>
      <x:c r="C6" s="30" t="n">
        <x:v>2011</x:v>
      </x:c>
      <x:c r="D6" s="30" t="n">
        <x:v>2011</x:v>
      </x:c>
      <x:c r="E6" s="30" t="str">
        <x:v>annual</x:v>
      </x:c>
      <x:c r="F6" s="30" t="str">
        <x:v>gdp</x:v>
      </x:c>
      <x:c r="G6" s="30" t="n">
        <x:v>250.11</x:v>
      </x:c>
      <x:c r="H6" s="30" t="str">
        <x:v>100m_cny</x:v>
      </x:c>
      <x:c r="I6" s="30" t="str">
        <x:v>official_yearbook</x:v>
      </x:c>
      <x:c r="J6" s="30" t="str">
        <x:v>gov_tj_yearbook_2012_jixian</x:v>
      </x:c>
      <x:c r="K6" s="30" t="n">
        <x:v>2</x:v>
      </x:c>
      <x:c r="L6" s="33" t="str">
        <x:v>https://stats.tj.gov.cn/nianjian/2012nj/html/22-17.htm</x:v>
      </x:c>
      <x:c r="M6" s="33" t="str">
        <x:v>后版年鉴回列值；直接下载受旧站防护限制但官方索引可复核；优选</x:v>
      </x:c>
    </x:row>
    <x:row r="7" ht="42" customHeight="1">
      <x:c r="A7" s="30" t="str">
        <x:v>macro</x:v>
      </x:c>
      <x:c r="B7" s="42" t="n">
        <x:v>2011</x:v>
      </x:c>
      <x:c r="C7" s="30" t="n">
        <x:v>2011</x:v>
      </x:c>
      <x:c r="D7" s="30" t="n">
        <x:v>2011</x:v>
      </x:c>
      <x:c r="E7" s="30" t="str">
        <x:v>annual</x:v>
      </x:c>
      <x:c r="F7" s="30" t="str">
        <x:v>tertiary_value_added</x:v>
      </x:c>
      <x:c r="G7" s="30" t="n">
        <x:v>165</x:v>
      </x:c>
      <x:c r="H7" s="30" t="str">
        <x:v>100m_cny</x:v>
      </x:c>
      <x:c r="I7" s="30" t="str">
        <x:v>official_initial</x:v>
      </x:c>
      <x:c r="J7" s="30" t="str">
        <x:v>gov_jz_bulletin_2011</x:v>
      </x:c>
      <x:c r="K7" s="30" t="n">
        <x:v>1</x:v>
      </x:c>
      <x:c r="L7" s="33" t="str">
        <x:v>https://www.tjjz.gov.cn/zwgk/zfxxgkqjjg/tjj1/fdzdgknr34/tjxx34/202012/t20201227_5212509.html</x:v>
      </x:c>
      <x:c r="M7" s="33" t="str">
        <x:v>初步核算值</x:v>
      </x:c>
    </x:row>
    <x:row r="8" ht="42" customHeight="1">
      <x:c r="A8" s="30" t="str">
        <x:v>macro</x:v>
      </x:c>
      <x:c r="B8" s="42" t="n">
        <x:v>2011</x:v>
      </x:c>
      <x:c r="C8" s="30" t="n">
        <x:v>2011</x:v>
      </x:c>
      <x:c r="D8" s="30" t="n">
        <x:v>2011</x:v>
      </x:c>
      <x:c r="E8" s="30" t="str">
        <x:v>annual</x:v>
      </x:c>
      <x:c r="F8" s="30" t="str">
        <x:v>tertiary_value_added</x:v>
      </x:c>
      <x:c r="G8" s="30" t="n">
        <x:v>147.02</x:v>
      </x:c>
      <x:c r="H8" s="30" t="str">
        <x:v>100m_cny</x:v>
      </x:c>
      <x:c r="I8" s="30" t="str">
        <x:v>official_yearbook</x:v>
      </x:c>
      <x:c r="J8" s="30" t="str">
        <x:v>gov_tj_yearbook_2012_jixian</x:v>
      </x:c>
      <x:c r="K8" s="30" t="n">
        <x:v>2</x:v>
      </x:c>
      <x:c r="L8" s="33" t="str">
        <x:v>https://stats.tj.gov.cn/nianjian/2012nj/html/22-17.htm</x:v>
      </x:c>
      <x:c r="M8" s="33" t="str">
        <x:v>后版年鉴回列值；直接下载受旧站防护限制但官方索引可复核；优选</x:v>
      </x:c>
    </x:row>
    <x:row r="9" ht="42" customHeight="1">
      <x:c r="A9" s="30" t="str">
        <x:v>macro</x:v>
      </x:c>
      <x:c r="B9" s="42" t="n">
        <x:v>2012</x:v>
      </x:c>
      <x:c r="C9" s="30" t="n">
        <x:v>2012</x:v>
      </x:c>
      <x:c r="D9" s="30" t="n">
        <x:v>2012</x:v>
      </x:c>
      <x:c r="E9" s="30" t="str">
        <x:v>annual</x:v>
      </x:c>
      <x:c r="F9" s="30" t="str">
        <x:v>gdp</x:v>
      </x:c>
      <x:c r="G9" s="30" t="n">
        <x:v>333.3</x:v>
      </x:c>
      <x:c r="H9" s="30" t="str">
        <x:v>100m_cny</x:v>
      </x:c>
      <x:c r="I9" s="30" t="str">
        <x:v>provisional_estimate</x:v>
      </x:c>
      <x:c r="J9" s="30" t="str">
        <x:v>gov_jz_report_2013</x:v>
      </x:c>
      <x:c r="K9" s="30" t="n">
        <x:v>1</x:v>
      </x:c>
      <x:c r="L9" s="33" t="str">
        <x:v>https://www.tjjz.gov.cn/zwgk/ZFGZBG_20201207/202012/t20201227_5202990.html</x:v>
      </x:c>
      <x:c r="M9" s="33" t="str">
        <x:v>政府工作报告预计值；未作为最终核算</x:v>
      </x:c>
    </x:row>
    <x:row r="10" ht="42" customHeight="1">
      <x:c r="A10" s="30" t="str">
        <x:v>macro</x:v>
      </x:c>
      <x:c r="B10" s="42" t="n">
        <x:v>2013</x:v>
      </x:c>
      <x:c r="C10" s="30" t="n">
        <x:v>2013</x:v>
      </x:c>
      <x:c r="D10" s="30" t="n">
        <x:v>2013</x:v>
      </x:c>
      <x:c r="E10" s="30" t="str">
        <x:v>annual</x:v>
      </x:c>
      <x:c r="F10" s="30" t="str">
        <x:v>gdp</x:v>
      </x:c>
      <x:c r="G10" s="30" t="n">
        <x:v>316.8</x:v>
      </x:c>
      <x:c r="H10" s="30" t="str">
        <x:v>100m_cny</x:v>
      </x:c>
      <x:c r="I10" s="30" t="str">
        <x:v>inferred_from_official_bulletin</x:v>
      </x:c>
      <x:c r="J10" s="30" t="str">
        <x:v>gov_jz_bulletin_2014</x:v>
      </x:c>
      <x:c r="K10" s="30" t="n">
        <x:v>2</x:v>
      </x:c>
      <x:c r="L10" s="33" t="str">
        <x:v>https://www.tjjz.gov.cn/zwgk/zfxxgkqjjg/tjj1/fdzdgknr34/tjxx34/202012/t20201227_5212510.html</x:v>
      </x:c>
      <x:c r="M10" s="33" t="str">
        <x:v>由2014年361.1亿元减去公报所述比上年增加44.3亿元</x:v>
      </x:c>
    </x:row>
    <x:row r="11" ht="42" customHeight="1">
      <x:c r="A11" s="30" t="str">
        <x:v>macro</x:v>
      </x:c>
      <x:c r="B11" s="42" t="n">
        <x:v>2013</x:v>
      </x:c>
      <x:c r="C11" s="30" t="n">
        <x:v>2013</x:v>
      </x:c>
      <x:c r="D11" s="30" t="n">
        <x:v>2013</x:v>
      </x:c>
      <x:c r="E11" s="30" t="str">
        <x:v>annual</x:v>
      </x:c>
      <x:c r="F11" s="30" t="str">
        <x:v>tertiary_value_added</x:v>
      </x:c>
      <x:c r="G11" s="30" t="n">
        <x:v>187.5456</x:v>
      </x:c>
      <x:c r="H11" s="30" t="str">
        <x:v>100m_cny</x:v>
      </x:c>
      <x:c r="I11" s="30" t="str">
        <x:v>inferred_from_official_bulletin</x:v>
      </x:c>
      <x:c r="J11" s="30" t="str">
        <x:v>gov_jz_bulletin_2014</x:v>
      </x:c>
      <x:c r="K11" s="30" t="n">
        <x:v>2</x:v>
      </x:c>
      <x:c r="L11" s="33" t="str">
        <x:v>https://www.tjjz.gov.cn/zwgk/zfxxgkqjjg/tjj1/fdzdgknr34/tjxx34/202012/t20201227_5212510.html</x:v>
      </x:c>
      <x:c r="M11" s="33" t="str">
        <x:v>由2013年GDP316.8亿元乘公报回列三产占比59.2%</x:v>
      </x:c>
    </x:row>
    <x:row r="12" ht="42" customHeight="1">
      <x:c r="A12" s="30" t="str">
        <x:v>macro</x:v>
      </x:c>
      <x:c r="B12" s="42" t="n">
        <x:v>2014</x:v>
      </x:c>
      <x:c r="C12" s="30" t="n">
        <x:v>2014</x:v>
      </x:c>
      <x:c r="D12" s="30" t="n">
        <x:v>2014</x:v>
      </x:c>
      <x:c r="E12" s="30" t="str">
        <x:v>annual</x:v>
      </x:c>
      <x:c r="F12" s="30" t="str">
        <x:v>gdp</x:v>
      </x:c>
      <x:c r="G12" s="30" t="n">
        <x:v>361.1</x:v>
      </x:c>
      <x:c r="H12" s="30" t="str">
        <x:v>100m_cny</x:v>
      </x:c>
      <x:c r="I12" s="30" t="str">
        <x:v>official_initial</x:v>
      </x:c>
      <x:c r="J12" s="30" t="str">
        <x:v>gov_jz_bulletin_2014</x:v>
      </x:c>
      <x:c r="K12" s="30" t="n">
        <x:v>1</x:v>
      </x:c>
      <x:c r="L12" s="33" t="str">
        <x:v>https://www.tjjz.gov.cn/zwgk/zfxxgkqjjg/tjj1/fdzdgknr34/tjxx34/202012/t20201227_5212510.html</x:v>
      </x:c>
      <x:c r="M12" s="33" t="str">
        <x:v>初步核算值</x:v>
      </x:c>
    </x:row>
    <x:row r="13" ht="42" customHeight="1">
      <x:c r="A13" s="30" t="str">
        <x:v>macro</x:v>
      </x:c>
      <x:c r="B13" s="42" t="n">
        <x:v>2014</x:v>
      </x:c>
      <x:c r="C13" s="30" t="n">
        <x:v>2014</x:v>
      </x:c>
      <x:c r="D13" s="30" t="n">
        <x:v>2014</x:v>
      </x:c>
      <x:c r="E13" s="30" t="str">
        <x:v>annual</x:v>
      </x:c>
      <x:c r="F13" s="30" t="str">
        <x:v>tertiary_value_added</x:v>
      </x:c>
      <x:c r="G13" s="30" t="n">
        <x:v>212.91</x:v>
      </x:c>
      <x:c r="H13" s="30" t="str">
        <x:v>100m_cny</x:v>
      </x:c>
      <x:c r="I13" s="30" t="str">
        <x:v>official_initial</x:v>
      </x:c>
      <x:c r="J13" s="30" t="str">
        <x:v>gov_jz_bulletin_2014</x:v>
      </x:c>
      <x:c r="K13" s="30" t="n">
        <x:v>1</x:v>
      </x:c>
      <x:c r="L13" s="33" t="str">
        <x:v>https://www.tjjz.gov.cn/zwgk/zfxxgkqjjg/tjj1/fdzdgknr34/tjxx34/202012/t20201227_5212510.html</x:v>
      </x:c>
      <x:c r="M13" s="33" t="str">
        <x:v>初步核算值</x:v>
      </x:c>
    </x:row>
    <x:row r="14" ht="42" customHeight="1">
      <x:c r="A14" s="30" t="str">
        <x:v>macro</x:v>
      </x:c>
      <x:c r="B14" s="42" t="n">
        <x:v>2015</x:v>
      </x:c>
      <x:c r="C14" s="30" t="n">
        <x:v>2015</x:v>
      </x:c>
      <x:c r="D14" s="30" t="n">
        <x:v>2015</x:v>
      </x:c>
      <x:c r="E14" s="30" t="str">
        <x:v>annual</x:v>
      </x:c>
      <x:c r="F14" s="30" t="str">
        <x:v>gdp</x:v>
      </x:c>
      <x:c r="G14" s="30" t="n">
        <x:v>409</x:v>
      </x:c>
      <x:c r="H14" s="30" t="str">
        <x:v>100m_cny</x:v>
      </x:c>
      <x:c r="I14" s="30" t="str">
        <x:v>provisional_estimate</x:v>
      </x:c>
      <x:c r="J14" s="30" t="str">
        <x:v>gov_jz_report_2016</x:v>
      </x:c>
      <x:c r="K14" s="30" t="n">
        <x:v>1</x:v>
      </x:c>
      <x:c r="L14" s="33" t="str">
        <x:v>https://www.tjjz.gov.cn/zwgk/ZFGZBG_20201207/202012/t20201227_5203179.html</x:v>
      </x:c>
      <x:c r="M14" s="33" t="str">
        <x:v>十二五回顾段中的期末值</x:v>
      </x:c>
    </x:row>
    <x:row r="15" ht="42" customHeight="1">
      <x:c r="A15" s="30" t="str">
        <x:v>macro</x:v>
      </x:c>
      <x:c r="B15" s="42" t="n">
        <x:v>2016</x:v>
      </x:c>
      <x:c r="C15" s="30" t="n">
        <x:v>2016</x:v>
      </x:c>
      <x:c r="D15" s="30" t="n">
        <x:v>2016</x:v>
      </x:c>
      <x:c r="E15" s="30" t="str">
        <x:v>annual</x:v>
      </x:c>
      <x:c r="F15" s="30" t="str">
        <x:v>gdp</x:v>
      </x:c>
      <x:c r="G15" s="30" t="n">
        <x:v>430</x:v>
      </x:c>
      <x:c r="H15" s="30" t="str">
        <x:v>100m_cny</x:v>
      </x:c>
      <x:c r="I15" s="30" t="str">
        <x:v>provisional_estimate</x:v>
      </x:c>
      <x:c r="J15" s="30" t="str">
        <x:v>gov_jz_report_2017</x:v>
      </x:c>
      <x:c r="K15" s="30" t="n">
        <x:v>1</x:v>
      </x:c>
      <x:c r="L15" s="33" t="str">
        <x:v>https://www.tjjz.gov.cn/zwgk/ZFGZBG_20201207/202012/t20201227_5203145.html</x:v>
      </x:c>
      <x:c r="M15" s="33" t="str">
        <x:v>报告预计值</x:v>
      </x:c>
    </x:row>
    <x:row r="16" ht="42" customHeight="1">
      <x:c r="A16" s="30" t="str">
        <x:v>macro</x:v>
      </x:c>
      <x:c r="B16" s="42" t="n">
        <x:v>2018</x:v>
      </x:c>
      <x:c r="C16" s="30" t="n">
        <x:v>2018</x:v>
      </x:c>
      <x:c r="D16" s="30" t="n">
        <x:v>2018</x:v>
      </x:c>
      <x:c r="E16" s="30" t="str">
        <x:v>annual</x:v>
      </x:c>
      <x:c r="F16" s="30" t="str">
        <x:v>gdp</x:v>
      </x:c>
      <x:c r="G16" s="30" t="n">
        <x:v>380</x:v>
      </x:c>
      <x:c r="H16" s="30" t="str">
        <x:v>100m_cny</x:v>
      </x:c>
      <x:c r="I16" s="30" t="str">
        <x:v>provisional_estimate</x:v>
      </x:c>
      <x:c r="J16" s="30" t="str">
        <x:v>gov_jz_report_2019</x:v>
      </x:c>
      <x:c r="K16" s="30" t="n">
        <x:v>1</x:v>
      </x:c>
      <x:c r="L16" s="33" t="str">
        <x:v>https://www.tjjz.gov.cn/zwgk/ZFGZBG_20201207/202012/t20201227_5203369.html</x:v>
      </x:c>
      <x:c r="M16" s="33" t="str">
        <x:v>报告预计值</x:v>
      </x:c>
    </x:row>
    <x:row r="17" ht="42" customHeight="1">
      <x:c r="A17" s="30" t="str">
        <x:v>macro</x:v>
      </x:c>
      <x:c r="B17" s="42" t="n">
        <x:v>2019</x:v>
      </x:c>
      <x:c r="C17" s="30" t="n">
        <x:v>2019</x:v>
      </x:c>
      <x:c r="D17" s="30" t="n">
        <x:v>2019</x:v>
      </x:c>
      <x:c r="E17" s="30" t="str">
        <x:v>annual</x:v>
      </x:c>
      <x:c r="F17" s="30" t="str">
        <x:v>gdp</x:v>
      </x:c>
      <x:c r="G17" s="30" t="n">
        <x:v>210.8</x:v>
      </x:c>
      <x:c r="H17" s="30" t="str">
        <x:v>100m_cny</x:v>
      </x:c>
      <x:c r="I17" s="30" t="str">
        <x:v>official_initial</x:v>
      </x:c>
      <x:c r="J17" s="30" t="str">
        <x:v>gov_jz_bulletin_2019</x:v>
      </x:c>
      <x:c r="K17" s="30" t="n">
        <x:v>1</x:v>
      </x:c>
      <x:c r="L17" s="33" t="str">
        <x:v>https://www.tjjz.gov.cn/zwgk/zfxxgkqjjg/tjj1/fdzdgknr34/tjxx34/202107/t20210705_5495855.html</x:v>
      </x:c>
      <x:c r="M17" s="33" t="str">
        <x:v>统一核算前后历史序列存在明显断点</x:v>
      </x:c>
    </x:row>
    <x:row r="18" ht="42" customHeight="1">
      <x:c r="A18" s="30" t="str">
        <x:v>macro</x:v>
      </x:c>
      <x:c r="B18" s="42" t="n">
        <x:v>2019</x:v>
      </x:c>
      <x:c r="C18" s="30" t="n">
        <x:v>2019</x:v>
      </x:c>
      <x:c r="D18" s="30" t="n">
        <x:v>2019</x:v>
      </x:c>
      <x:c r="E18" s="30" t="str">
        <x:v>annual</x:v>
      </x:c>
      <x:c r="F18" s="30" t="str">
        <x:v>tertiary_value_added</x:v>
      </x:c>
      <x:c r="G18" s="30" t="n">
        <x:v>129.92</x:v>
      </x:c>
      <x:c r="H18" s="30" t="str">
        <x:v>100m_cny</x:v>
      </x:c>
      <x:c r="I18" s="30" t="str">
        <x:v>official_initial</x:v>
      </x:c>
      <x:c r="J18" s="30" t="str">
        <x:v>gov_jz_bulletin_2019</x:v>
      </x:c>
      <x:c r="K18" s="30" t="n">
        <x:v>1</x:v>
      </x:c>
      <x:c r="L18" s="33" t="str">
        <x:v>https://www.tjjz.gov.cn/zwgk/zfxxgkqjjg/tjj1/fdzdgknr34/tjxx34/202107/t20210705_5495855.html</x:v>
      </x:c>
      <x:c r="M18" s="33"/>
    </x:row>
    <x:row r="19" ht="42" customHeight="1">
      <x:c r="A19" s="30" t="str">
        <x:v>macro</x:v>
      </x:c>
      <x:c r="B19" s="42" t="n">
        <x:v>2020</x:v>
      </x:c>
      <x:c r="C19" s="30" t="n">
        <x:v>2020</x:v>
      </x:c>
      <x:c r="D19" s="30" t="n">
        <x:v>2020</x:v>
      </x:c>
      <x:c r="E19" s="30" t="str">
        <x:v>annual</x:v>
      </x:c>
      <x:c r="F19" s="30" t="str">
        <x:v>gdp</x:v>
      </x:c>
      <x:c r="G19" s="30" t="n">
        <x:v>224.6</x:v>
      </x:c>
      <x:c r="H19" s="30" t="str">
        <x:v>100m_cny</x:v>
      </x:c>
      <x:c r="I19" s="30" t="str">
        <x:v>official_initial</x:v>
      </x:c>
      <x:c r="J19" s="30" t="str">
        <x:v>gov_jz_bulletin_2020</x:v>
      </x:c>
      <x:c r="K19" s="30" t="n">
        <x:v>1</x:v>
      </x:c>
      <x:c r="L19" s="33" t="str">
        <x:v>https://www.tjjz.gov.cn/zwgk/zfxxgkqjjg/tjj1/fdzdgknr34/tjxx34/202111/t20211115_5703949.html</x:v>
      </x:c>
      <x:c r="M19" s="33"/>
    </x:row>
    <x:row r="20" ht="42" customHeight="1">
      <x:c r="A20" s="30" t="str">
        <x:v>macro</x:v>
      </x:c>
      <x:c r="B20" s="42" t="n">
        <x:v>2020</x:v>
      </x:c>
      <x:c r="C20" s="30" t="n">
        <x:v>2020</x:v>
      </x:c>
      <x:c r="D20" s="30" t="n">
        <x:v>2020</x:v>
      </x:c>
      <x:c r="E20" s="30" t="str">
        <x:v>annual</x:v>
      </x:c>
      <x:c r="F20" s="30" t="str">
        <x:v>tertiary_value_added</x:v>
      </x:c>
      <x:c r="G20" s="30" t="n">
        <x:v>142.55</x:v>
      </x:c>
      <x:c r="H20" s="30" t="str">
        <x:v>100m_cny</x:v>
      </x:c>
      <x:c r="I20" s="30" t="str">
        <x:v>official_initial</x:v>
      </x:c>
      <x:c r="J20" s="30" t="str">
        <x:v>gov_jz_bulletin_2020</x:v>
      </x:c>
      <x:c r="K20" s="30" t="n">
        <x:v>1</x:v>
      </x:c>
      <x:c r="L20" s="33" t="str">
        <x:v>https://www.tjjz.gov.cn/zwgk/zfxxgkqjjg/tjj1/fdzdgknr34/tjxx34/202111/t20211115_5703949.html</x:v>
      </x:c>
      <x:c r="M20" s="33"/>
    </x:row>
    <x:row r="21" ht="42" customHeight="1">
      <x:c r="A21" s="30" t="str">
        <x:v>macro</x:v>
      </x:c>
      <x:c r="B21" s="42" t="n">
        <x:v>2021</x:v>
      </x:c>
      <x:c r="C21" s="30" t="n">
        <x:v>2021</x:v>
      </x:c>
      <x:c r="D21" s="30" t="n">
        <x:v>2021</x:v>
      </x:c>
      <x:c r="E21" s="30" t="str">
        <x:v>annual</x:v>
      </x:c>
      <x:c r="F21" s="30" t="str">
        <x:v>gdp</x:v>
      </x:c>
      <x:c r="G21" s="30" t="n">
        <x:v>250.4</x:v>
      </x:c>
      <x:c r="H21" s="30" t="str">
        <x:v>100m_cny</x:v>
      </x:c>
      <x:c r="I21" s="30" t="str">
        <x:v>official_initial</x:v>
      </x:c>
      <x:c r="J21" s="30" t="str">
        <x:v>gov_jz_bulletin_2021</x:v>
      </x:c>
      <x:c r="K21" s="30" t="n">
        <x:v>1</x:v>
      </x:c>
      <x:c r="L21" s="33" t="str">
        <x:v>https://www.tjjz.gov.cn/zwgk/sjfb/tjgb/202211/t20221128_6044247.html</x:v>
      </x:c>
      <x:c r="M21" s="33" t="str">
        <x:v>公报初值</x:v>
      </x:c>
    </x:row>
    <x:row r="22" ht="42" customHeight="1">
      <x:c r="A22" s="30" t="str">
        <x:v>macro</x:v>
      </x:c>
      <x:c r="B22" s="42" t="n">
        <x:v>2021</x:v>
      </x:c>
      <x:c r="C22" s="30" t="n">
        <x:v>2021</x:v>
      </x:c>
      <x:c r="D22" s="30" t="n">
        <x:v>2021</x:v>
      </x:c>
      <x:c r="E22" s="30" t="str">
        <x:v>annual</x:v>
      </x:c>
      <x:c r="F22" s="30" t="str">
        <x:v>gdp</x:v>
      </x:c>
      <x:c r="G22" s="30" t="n">
        <x:v>274.2034</x:v>
      </x:c>
      <x:c r="H22" s="30" t="str">
        <x:v>100m_cny</x:v>
      </x:c>
      <x:c r="I22" s="30" t="str">
        <x:v>official_revised</x:v>
      </x:c>
      <x:c r="J22" s="30" t="str">
        <x:v>gov_jz_yearbook_2022</x:v>
      </x:c>
      <x:c r="K22" s="30" t="n">
        <x:v>1</x:v>
      </x:c>
      <x:c r="L22" s="33" t="str">
        <x:v>https://www.tjjz.gov.cn/zwgk/sjfb/tjnb/202311/W020250107625663560312.pdf</x:v>
      </x:c>
      <x:c r="M22" s="33" t="str">
        <x:v>后版年鉴修订值；优选</x:v>
      </x:c>
    </x:row>
    <x:row r="23" ht="42" customHeight="1">
      <x:c r="A23" s="30" t="str">
        <x:v>macro</x:v>
      </x:c>
      <x:c r="B23" s="42" t="n">
        <x:v>2021</x:v>
      </x:c>
      <x:c r="C23" s="30" t="n">
        <x:v>2021</x:v>
      </x:c>
      <x:c r="D23" s="30" t="n">
        <x:v>2021</x:v>
      </x:c>
      <x:c r="E23" s="30" t="str">
        <x:v>annual</x:v>
      </x:c>
      <x:c r="F23" s="30" t="str">
        <x:v>tertiary_value_added</x:v>
      </x:c>
      <x:c r="G23" s="30" t="n">
        <x:v>151.52</x:v>
      </x:c>
      <x:c r="H23" s="30" t="str">
        <x:v>100m_cny</x:v>
      </x:c>
      <x:c r="I23" s="30" t="str">
        <x:v>official_initial</x:v>
      </x:c>
      <x:c r="J23" s="30" t="str">
        <x:v>gov_jz_bulletin_2021</x:v>
      </x:c>
      <x:c r="K23" s="30" t="n">
        <x:v>1</x:v>
      </x:c>
      <x:c r="L23" s="33" t="str">
        <x:v>https://www.tjjz.gov.cn/zwgk/sjfb/tjgb/202211/t20221128_6044247.html</x:v>
      </x:c>
      <x:c r="M23" s="33" t="str">
        <x:v>公报初值</x:v>
      </x:c>
    </x:row>
    <x:row r="24" ht="42" customHeight="1">
      <x:c r="A24" s="30" t="str">
        <x:v>macro</x:v>
      </x:c>
      <x:c r="B24" s="42" t="n">
        <x:v>2021</x:v>
      </x:c>
      <x:c r="C24" s="30" t="n">
        <x:v>2021</x:v>
      </x:c>
      <x:c r="D24" s="30" t="n">
        <x:v>2021</x:v>
      </x:c>
      <x:c r="E24" s="30" t="str">
        <x:v>annual</x:v>
      </x:c>
      <x:c r="F24" s="30" t="str">
        <x:v>tertiary_value_added</x:v>
      </x:c>
      <x:c r="G24" s="30" t="n">
        <x:v>161.9732</x:v>
      </x:c>
      <x:c r="H24" s="30" t="str">
        <x:v>100m_cny</x:v>
      </x:c>
      <x:c r="I24" s="30" t="str">
        <x:v>official_revised</x:v>
      </x:c>
      <x:c r="J24" s="30" t="str">
        <x:v>gov_jz_yearbook_2022</x:v>
      </x:c>
      <x:c r="K24" s="30" t="n">
        <x:v>1</x:v>
      </x:c>
      <x:c r="L24" s="33" t="str">
        <x:v>https://www.tjjz.gov.cn/zwgk/sjfb/tjnb/202311/W020250107625663560312.pdf</x:v>
      </x:c>
      <x:c r="M24" s="33" t="str">
        <x:v>后版年鉴修订值；优选</x:v>
      </x:c>
    </x:row>
    <x:row r="25" ht="42" customHeight="1">
      <x:c r="A25" s="30" t="str">
        <x:v>macro</x:v>
      </x:c>
      <x:c r="B25" s="42" t="n">
        <x:v>2022</x:v>
      </x:c>
      <x:c r="C25" s="30" t="n">
        <x:v>2022</x:v>
      </x:c>
      <x:c r="D25" s="30" t="n">
        <x:v>2022</x:v>
      </x:c>
      <x:c r="E25" s="30" t="str">
        <x:v>annual</x:v>
      </x:c>
      <x:c r="F25" s="30" t="str">
        <x:v>gdp</x:v>
      </x:c>
      <x:c r="G25" s="30" t="n">
        <x:v>279.33</x:v>
      </x:c>
      <x:c r="H25" s="30" t="str">
        <x:v>100m_cny</x:v>
      </x:c>
      <x:c r="I25" s="30" t="str">
        <x:v>official_initial</x:v>
      </x:c>
      <x:c r="J25" s="30" t="str">
        <x:v>gov_jz_bulletin_2022</x:v>
      </x:c>
      <x:c r="K25" s="30" t="n">
        <x:v>1</x:v>
      </x:c>
      <x:c r="L25" s="33" t="str">
        <x:v>https://www.tjjz.gov.cn/zwgk/sjfb/tjgb/202311/t20231107_6450006.html</x:v>
      </x:c>
      <x:c r="M25" s="33" t="str">
        <x:v>公报初值</x:v>
      </x:c>
    </x:row>
    <x:row r="26" ht="42" customHeight="1">
      <x:c r="A26" s="30" t="str">
        <x:v>macro</x:v>
      </x:c>
      <x:c r="B26" s="42" t="n">
        <x:v>2022</x:v>
      </x:c>
      <x:c r="C26" s="30" t="n">
        <x:v>2022</x:v>
      </x:c>
      <x:c r="D26" s="30" t="n">
        <x:v>2022</x:v>
      </x:c>
      <x:c r="E26" s="30" t="str">
        <x:v>annual</x:v>
      </x:c>
      <x:c r="F26" s="30" t="str">
        <x:v>gdp</x:v>
      </x:c>
      <x:c r="G26" s="30" t="n">
        <x:v>282.2414</x:v>
      </x:c>
      <x:c r="H26" s="30" t="str">
        <x:v>100m_cny</x:v>
      </x:c>
      <x:c r="I26" s="30" t="str">
        <x:v>official_revised</x:v>
      </x:c>
      <x:c r="J26" s="30" t="str">
        <x:v>gov_jz_yearbook_2023</x:v>
      </x:c>
      <x:c r="K26" s="30" t="n">
        <x:v>1</x:v>
      </x:c>
      <x:c r="L26" s="33" t="str">
        <x:v>https://www.tjjz.gov.cn/zwgk/sjfb/tjnb/202501/W020250103638170510358.pdf</x:v>
      </x:c>
      <x:c r="M26" s="33" t="str">
        <x:v>后版年鉴修订值；优选</x:v>
      </x:c>
    </x:row>
    <x:row r="27" ht="42" customHeight="1">
      <x:c r="A27" s="30" t="str">
        <x:v>macro</x:v>
      </x:c>
      <x:c r="B27" s="42" t="n">
        <x:v>2022</x:v>
      </x:c>
      <x:c r="C27" s="30" t="n">
        <x:v>2022</x:v>
      </x:c>
      <x:c r="D27" s="30" t="n">
        <x:v>2022</x:v>
      </x:c>
      <x:c r="E27" s="30" t="str">
        <x:v>annual</x:v>
      </x:c>
      <x:c r="F27" s="30" t="str">
        <x:v>tertiary_value_added</x:v>
      </x:c>
      <x:c r="G27" s="30" t="n">
        <x:v>164.78</x:v>
      </x:c>
      <x:c r="H27" s="30" t="str">
        <x:v>100m_cny</x:v>
      </x:c>
      <x:c r="I27" s="30" t="str">
        <x:v>official_initial</x:v>
      </x:c>
      <x:c r="J27" s="30" t="str">
        <x:v>gov_jz_bulletin_2022</x:v>
      </x:c>
      <x:c r="K27" s="30" t="n">
        <x:v>1</x:v>
      </x:c>
      <x:c r="L27" s="33" t="str">
        <x:v>https://www.tjjz.gov.cn/zwgk/sjfb/tjgb/202311/t20231107_6450006.html</x:v>
      </x:c>
      <x:c r="M27" s="33" t="str">
        <x:v>公报初值</x:v>
      </x:c>
    </x:row>
    <x:row r="28" ht="42" customHeight="1">
      <x:c r="A28" s="30" t="str">
        <x:v>macro</x:v>
      </x:c>
      <x:c r="B28" s="42" t="n">
        <x:v>2022</x:v>
      </x:c>
      <x:c r="C28" s="30" t="n">
        <x:v>2022</x:v>
      </x:c>
      <x:c r="D28" s="30" t="n">
        <x:v>2022</x:v>
      </x:c>
      <x:c r="E28" s="30" t="str">
        <x:v>annual</x:v>
      </x:c>
      <x:c r="F28" s="30" t="str">
        <x:v>tertiary_value_added</x:v>
      </x:c>
      <x:c r="G28" s="30" t="n">
        <x:v>171.2106</x:v>
      </x:c>
      <x:c r="H28" s="30" t="str">
        <x:v>100m_cny</x:v>
      </x:c>
      <x:c r="I28" s="30" t="str">
        <x:v>official_revised</x:v>
      </x:c>
      <x:c r="J28" s="30" t="str">
        <x:v>gov_jz_yearbook_2023</x:v>
      </x:c>
      <x:c r="K28" s="30" t="n">
        <x:v>1</x:v>
      </x:c>
      <x:c r="L28" s="33" t="str">
        <x:v>https://www.tjjz.gov.cn/zwgk/sjfb/tjnb/202501/W020250103638170510358.pdf</x:v>
      </x:c>
      <x:c r="M28" s="33" t="str">
        <x:v>后版年鉴修订值；优选</x:v>
      </x:c>
    </x:row>
    <x:row r="29" ht="42" customHeight="1">
      <x:c r="A29" s="30" t="str">
        <x:v>macro</x:v>
      </x:c>
      <x:c r="B29" s="42" t="n">
        <x:v>2023</x:v>
      </x:c>
      <x:c r="C29" s="30" t="n">
        <x:v>2023</x:v>
      </x:c>
      <x:c r="D29" s="30" t="n">
        <x:v>2023</x:v>
      </x:c>
      <x:c r="E29" s="30" t="str">
        <x:v>annual</x:v>
      </x:c>
      <x:c r="F29" s="30" t="str">
        <x:v>gdp</x:v>
      </x:c>
      <x:c r="G29" s="30" t="n">
        <x:v>287.46</x:v>
      </x:c>
      <x:c r="H29" s="30" t="str">
        <x:v>100m_cny</x:v>
      </x:c>
      <x:c r="I29" s="30" t="str">
        <x:v>official_initial</x:v>
      </x:c>
      <x:c r="J29" s="30" t="str">
        <x:v>gov_jz_bulletin_2023</x:v>
      </x:c>
      <x:c r="K29" s="30" t="n">
        <x:v>1</x:v>
      </x:c>
      <x:c r="L29" s="33" t="str">
        <x:v>https://www.tjjz.gov.cn/zwgk/zfxxgkqjjg/tjj1/fdzdgknr34/tjxx34/202406/t20240627_6662772.html</x:v>
      </x:c>
      <x:c r="M29" s="33" t="str">
        <x:v>公报初值</x:v>
      </x:c>
    </x:row>
    <x:row r="30" ht="42" customHeight="1">
      <x:c r="A30" s="30" t="str">
        <x:v>macro</x:v>
      </x:c>
      <x:c r="B30" s="42" t="n">
        <x:v>2023</x:v>
      </x:c>
      <x:c r="C30" s="30" t="n">
        <x:v>2023</x:v>
      </x:c>
      <x:c r="D30" s="30" t="n">
        <x:v>2023</x:v>
      </x:c>
      <x:c r="E30" s="30" t="str">
        <x:v>annual</x:v>
      </x:c>
      <x:c r="F30" s="30" t="str">
        <x:v>gdp</x:v>
      </x:c>
      <x:c r="G30" s="30" t="n">
        <x:v>288.3062</x:v>
      </x:c>
      <x:c r="H30" s="30" t="str">
        <x:v>100m_cny</x:v>
      </x:c>
      <x:c r="I30" s="30" t="str">
        <x:v>official_final</x:v>
      </x:c>
      <x:c r="J30" s="30" t="str">
        <x:v>gov_jz_yearbook_2024</x:v>
      </x:c>
      <x:c r="K30" s="30" t="n">
        <x:v>1</x:v>
      </x:c>
      <x:c r="L30" s="33" t="str">
        <x:v>https://www.tjjz.gov.cn/zwgk/sjfb/tjnb/202511/W020251126560102082891.pdf</x:v>
      </x:c>
      <x:c r="M30" s="33" t="str">
        <x:v>后版年鉴最终核实值；优选</x:v>
      </x:c>
    </x:row>
    <x:row r="31" ht="42" customHeight="1">
      <x:c r="A31" s="30" t="str">
        <x:v>macro</x:v>
      </x:c>
      <x:c r="B31" s="42" t="n">
        <x:v>2023</x:v>
      </x:c>
      <x:c r="C31" s="30" t="n">
        <x:v>2023</x:v>
      </x:c>
      <x:c r="D31" s="30" t="n">
        <x:v>2023</x:v>
      </x:c>
      <x:c r="E31" s="30" t="str">
        <x:v>annual</x:v>
      </x:c>
      <x:c r="F31" s="30" t="str">
        <x:v>tertiary_value_added</x:v>
      </x:c>
      <x:c r="G31" s="30" t="n">
        <x:v>179.87</x:v>
      </x:c>
      <x:c r="H31" s="30" t="str">
        <x:v>100m_cny</x:v>
      </x:c>
      <x:c r="I31" s="30" t="str">
        <x:v>official_initial</x:v>
      </x:c>
      <x:c r="J31" s="30" t="str">
        <x:v>gov_jz_bulletin_2023</x:v>
      </x:c>
      <x:c r="K31" s="30" t="n">
        <x:v>1</x:v>
      </x:c>
      <x:c r="L31" s="33" t="str">
        <x:v>https://www.tjjz.gov.cn/zwgk/zfxxgkqjjg/tjj1/fdzdgknr34/tjxx34/202406/t20240627_6662772.html</x:v>
      </x:c>
      <x:c r="M31" s="33" t="str">
        <x:v>公报初值</x:v>
      </x:c>
    </x:row>
    <x:row r="32" ht="42" customHeight="1">
      <x:c r="A32" s="30" t="str">
        <x:v>macro</x:v>
      </x:c>
      <x:c r="B32" s="42" t="n">
        <x:v>2023</x:v>
      </x:c>
      <x:c r="C32" s="30" t="n">
        <x:v>2023</x:v>
      </x:c>
      <x:c r="D32" s="30" t="n">
        <x:v>2023</x:v>
      </x:c>
      <x:c r="E32" s="30" t="str">
        <x:v>annual</x:v>
      </x:c>
      <x:c r="F32" s="30" t="str">
        <x:v>tertiary_value_added</x:v>
      </x:c>
      <x:c r="G32" s="30" t="n">
        <x:v>176.1714</x:v>
      </x:c>
      <x:c r="H32" s="30" t="str">
        <x:v>100m_cny</x:v>
      </x:c>
      <x:c r="I32" s="30" t="str">
        <x:v>official_final</x:v>
      </x:c>
      <x:c r="J32" s="30" t="str">
        <x:v>gov_jz_yearbook_2024</x:v>
      </x:c>
      <x:c r="K32" s="30" t="n">
        <x:v>1</x:v>
      </x:c>
      <x:c r="L32" s="33" t="str">
        <x:v>https://www.tjjz.gov.cn/zwgk/sjfb/tjnb/202511/W020251126560102082891.pdf</x:v>
      </x:c>
      <x:c r="M32" s="33" t="str">
        <x:v>后版年鉴最终核实值；优选</x:v>
      </x:c>
    </x:row>
    <x:row r="33" ht="42" customHeight="1">
      <x:c r="A33" s="30" t="str">
        <x:v>macro</x:v>
      </x:c>
      <x:c r="B33" s="42" t="n">
        <x:v>2024</x:v>
      </x:c>
      <x:c r="C33" s="30" t="n">
        <x:v>2024</x:v>
      </x:c>
      <x:c r="D33" s="30" t="n">
        <x:v>2024</x:v>
      </x:c>
      <x:c r="E33" s="30" t="str">
        <x:v>annual</x:v>
      </x:c>
      <x:c r="F33" s="30" t="str">
        <x:v>gdp</x:v>
      </x:c>
      <x:c r="G33" s="30" t="n">
        <x:v>298.87</x:v>
      </x:c>
      <x:c r="H33" s="30" t="str">
        <x:v>100m_cny</x:v>
      </x:c>
      <x:c r="I33" s="30" t="str">
        <x:v>official_initial</x:v>
      </x:c>
      <x:c r="J33" s="30" t="str">
        <x:v>gov_jz_bulletin_2024</x:v>
      </x:c>
      <x:c r="K33" s="30" t="n">
        <x:v>1</x:v>
      </x:c>
      <x:c r="L33" s="33" t="str">
        <x:v>https://www.tjjz.gov.cn/zwgk/sjfb/tjgb/202506/t20250630_6969506.html</x:v>
      </x:c>
      <x:c r="M33" s="33" t="str">
        <x:v>公报初值</x:v>
      </x:c>
    </x:row>
    <x:row r="34" ht="42" customHeight="1">
      <x:c r="A34" s="30" t="str">
        <x:v>macro</x:v>
      </x:c>
      <x:c r="B34" s="42" t="n">
        <x:v>2024</x:v>
      </x:c>
      <x:c r="C34" s="30" t="n">
        <x:v>2024</x:v>
      </x:c>
      <x:c r="D34" s="30" t="n">
        <x:v>2024</x:v>
      </x:c>
      <x:c r="E34" s="30" t="str">
        <x:v>annual</x:v>
      </x:c>
      <x:c r="F34" s="30" t="str">
        <x:v>gdp</x:v>
      </x:c>
      <x:c r="G34" s="30" t="n">
        <x:v>298.865</x:v>
      </x:c>
      <x:c r="H34" s="30" t="str">
        <x:v>100m_cny</x:v>
      </x:c>
      <x:c r="I34" s="30" t="str">
        <x:v>official_yearbook</x:v>
      </x:c>
      <x:c r="J34" s="30" t="str">
        <x:v>gov_jz_yearbook_2024</x:v>
      </x:c>
      <x:c r="K34" s="30" t="n">
        <x:v>1</x:v>
      </x:c>
      <x:c r="L34" s="33" t="str">
        <x:v>https://www.tjjz.gov.cn/zwgk/sjfb/tjnb/202511/W020251126560102082891.pdf</x:v>
      </x:c>
      <x:c r="M34" s="33" t="str">
        <x:v>年鉴现价值；优选</x:v>
      </x:c>
    </x:row>
    <x:row r="35" ht="42" customHeight="1">
      <x:c r="A35" s="30" t="str">
        <x:v>macro</x:v>
      </x:c>
      <x:c r="B35" s="42" t="n">
        <x:v>2024</x:v>
      </x:c>
      <x:c r="C35" s="30" t="n">
        <x:v>2024</x:v>
      </x:c>
      <x:c r="D35" s="30" t="n">
        <x:v>2024</x:v>
      </x:c>
      <x:c r="E35" s="30" t="str">
        <x:v>annual</x:v>
      </x:c>
      <x:c r="F35" s="30" t="str">
        <x:v>tertiary_value_added</x:v>
      </x:c>
      <x:c r="G35" s="30" t="n">
        <x:v>183.97</x:v>
      </x:c>
      <x:c r="H35" s="30" t="str">
        <x:v>100m_cny</x:v>
      </x:c>
      <x:c r="I35" s="30" t="str">
        <x:v>official_initial</x:v>
      </x:c>
      <x:c r="J35" s="30" t="str">
        <x:v>gov_jz_bulletin_2024</x:v>
      </x:c>
      <x:c r="K35" s="30" t="n">
        <x:v>1</x:v>
      </x:c>
      <x:c r="L35" s="33" t="str">
        <x:v>https://www.tjjz.gov.cn/zwgk/sjfb/tjgb/202506/t20250630_6969506.html</x:v>
      </x:c>
      <x:c r="M35" s="33" t="str">
        <x:v>公报初值</x:v>
      </x:c>
    </x:row>
    <x:row r="36" ht="42" customHeight="1">
      <x:c r="A36" s="30" t="str">
        <x:v>macro</x:v>
      </x:c>
      <x:c r="B36" s="42" t="n">
        <x:v>2024</x:v>
      </x:c>
      <x:c r="C36" s="30" t="n">
        <x:v>2024</x:v>
      </x:c>
      <x:c r="D36" s="30" t="n">
        <x:v>2024</x:v>
      </x:c>
      <x:c r="E36" s="30" t="str">
        <x:v>annual</x:v>
      </x:c>
      <x:c r="F36" s="30" t="str">
        <x:v>tertiary_value_added</x:v>
      </x:c>
      <x:c r="G36" s="30" t="n">
        <x:v>183.9654</x:v>
      </x:c>
      <x:c r="H36" s="30" t="str">
        <x:v>100m_cny</x:v>
      </x:c>
      <x:c r="I36" s="30" t="str">
        <x:v>official_yearbook</x:v>
      </x:c>
      <x:c r="J36" s="30" t="str">
        <x:v>gov_jz_yearbook_2024</x:v>
      </x:c>
      <x:c r="K36" s="30" t="n">
        <x:v>1</x:v>
      </x:c>
      <x:c r="L36" s="33" t="str">
        <x:v>https://www.tjjz.gov.cn/zwgk/sjfb/tjnb/202511/W020251126560102082891.pdf</x:v>
      </x:c>
      <x:c r="M36" s="33" t="str">
        <x:v>年鉴现价值；优选</x:v>
      </x:c>
    </x:row>
    <x:row r="37" ht="42" customHeight="1">
      <x:c r="A37" s="30" t="str">
        <x:v>macro</x:v>
      </x:c>
      <x:c r="B37" s="42" t="n">
        <x:v>2025</x:v>
      </x:c>
      <x:c r="C37" s="30" t="n">
        <x:v>2025</x:v>
      </x:c>
      <x:c r="D37" s="30" t="n">
        <x:v>2025</x:v>
      </x:c>
      <x:c r="E37" s="30" t="str">
        <x:v>annual</x:v>
      </x:c>
      <x:c r="F37" s="30" t="str">
        <x:v>gdp</x:v>
      </x:c>
      <x:c r="G37" s="30" t="n">
        <x:v>311.94</x:v>
      </x:c>
      <x:c r="H37" s="30" t="str">
        <x:v>100m_cny</x:v>
      </x:c>
      <x:c r="I37" s="30" t="str">
        <x:v>official_initial</x:v>
      </x:c>
      <x:c r="J37" s="30" t="str">
        <x:v>gov_jz_bulletin_2025</x:v>
      </x:c>
      <x:c r="K37" s="30" t="n">
        <x:v>1</x:v>
      </x:c>
      <x:c r="L37" s="33" t="str">
        <x:v>https://www.tjjz.gov.cn/zwgk/sjfb/tjgb/202606/t20260629_7325623.html</x:v>
      </x:c>
      <x:c r="M37" s="33"/>
    </x:row>
    <x:row r="38" ht="42" customHeight="1">
      <x:c r="A38" s="30" t="str">
        <x:v>macro</x:v>
      </x:c>
      <x:c r="B38" s="42" t="n">
        <x:v>2025</x:v>
      </x:c>
      <x:c r="C38" s="30" t="n">
        <x:v>2025</x:v>
      </x:c>
      <x:c r="D38" s="30" t="n">
        <x:v>2025</x:v>
      </x:c>
      <x:c r="E38" s="30" t="str">
        <x:v>annual</x:v>
      </x:c>
      <x:c r="F38" s="30" t="str">
        <x:v>tertiary_value_added</x:v>
      </x:c>
      <x:c r="G38" s="30" t="n">
        <x:v>195.17</x:v>
      </x:c>
      <x:c r="H38" s="30" t="str">
        <x:v>100m_cny</x:v>
      </x:c>
      <x:c r="I38" s="30" t="str">
        <x:v>official_initial</x:v>
      </x:c>
      <x:c r="J38" s="30" t="str">
        <x:v>gov_jz_bulletin_2025</x:v>
      </x:c>
      <x:c r="K38" s="30" t="n">
        <x:v>1</x:v>
      </x:c>
      <x:c r="L38" s="33" t="str">
        <x:v>https://www.tjjz.gov.cn/zwgk/sjfb/tjgb/202606/t20260629_7325623.html</x:v>
      </x:c>
      <x:c r="M38" s="33"/>
    </x:row>
    <x:row r="39" ht="42" customHeight="1">
      <x:c r="A39" s="30" t="str">
        <x:v>related</x:v>
      </x:c>
      <x:c r="B39" s="42" t="n">
        <x:v>2014</x:v>
      </x:c>
      <x:c r="C39" s="30" t="n">
        <x:v>2014</x:v>
      </x:c>
      <x:c r="D39" s="30" t="n">
        <x:v>2014</x:v>
      </x:c>
      <x:c r="E39" s="30" t="str">
        <x:v>annual</x:v>
      </x:c>
      <x:c r="F39" s="30" t="str">
        <x:v>fixed_asset_investment</x:v>
      </x:c>
      <x:c r="G39" s="30" t="n">
        <x:v>635.2217</x:v>
      </x:c>
      <x:c r="H39" s="30" t="str">
        <x:v>100m_cny</x:v>
      </x:c>
      <x:c r="I39" s="30" t="str">
        <x:v>observed</x:v>
      </x:c>
      <x:c r="J39" s="30" t="str">
        <x:v>gov_jz_tourism_stats_2014</x:v>
      </x:c>
      <x:c r="K39" s="30"/>
      <x:c r="L39" s="33" t="str">
        <x:v>https://www.tjjz.gov.cn/zwgk/zfxxgkqjjg/tjj1/fdzdgknr34/tjxx34/202012/t20201227_5212306.html</x:v>
      </x:c>
      <x:c r="M39" s="33" t="str">
        <x:v>采用在地口径</x:v>
      </x:c>
    </x:row>
    <x:row r="40" ht="42" customHeight="1">
      <x:c r="A40" s="30" t="str">
        <x:v>related</x:v>
      </x:c>
      <x:c r="B40" s="42" t="n">
        <x:v>2014</x:v>
      </x:c>
      <x:c r="C40" s="30" t="n">
        <x:v>2014</x:v>
      </x:c>
      <x:c r="D40" s="30" t="n">
        <x:v>2014</x:v>
      </x:c>
      <x:c r="E40" s="30" t="str">
        <x:v>annual</x:v>
      </x:c>
      <x:c r="F40" s="30" t="str">
        <x:v>social_retail_sales</x:v>
      </x:c>
      <x:c r="G40" s="30" t="n">
        <x:v>154.22616</x:v>
      </x:c>
      <x:c r="H40" s="30" t="str">
        <x:v>100m_cny</x:v>
      </x:c>
      <x:c r="I40" s="30" t="str">
        <x:v>observed</x:v>
      </x:c>
      <x:c r="J40" s="30" t="str">
        <x:v>gov_jz_tourism_stats_2014</x:v>
      </x:c>
      <x:c r="K40" s="30"/>
      <x:c r="L40" s="33" t="str">
        <x:v>https://www.tjjz.gov.cn/zwgk/zfxxgkqjjg/tjj1/fdzdgknr34/tjxx34/202012/t20201227_5212306.html</x:v>
      </x:c>
      <x:c r="M40" s="33" t="str">
        <x:v>原表单位万元后换算</x:v>
      </x:c>
    </x:row>
    <x:row r="41" ht="42" customHeight="1">
      <x:c r="A41" s="30" t="str">
        <x:v>related</x:v>
      </x:c>
      <x:c r="B41" s="42" t="n">
        <x:v>2015</x:v>
      </x:c>
      <x:c r="C41" s="30" t="n">
        <x:v>2015</x:v>
      </x:c>
      <x:c r="D41" s="30" t="n">
        <x:v>2015</x:v>
      </x:c>
      <x:c r="E41" s="30" t="str">
        <x:v>annual</x:v>
      </x:c>
      <x:c r="F41" s="30" t="str">
        <x:v>fixed_asset_investment</x:v>
      </x:c>
      <x:c r="G41" s="30" t="n">
        <x:v>713.3068</x:v>
      </x:c>
      <x:c r="H41" s="30" t="str">
        <x:v>100m_cny</x:v>
      </x:c>
      <x:c r="I41" s="30" t="str">
        <x:v>observed</x:v>
      </x:c>
      <x:c r="J41" s="30" t="str">
        <x:v>gov_jz_tourism_stats_2015</x:v>
      </x:c>
      <x:c r="K41" s="30"/>
      <x:c r="L41" s="33" t="str">
        <x:v>https://www.tjjz.gov.cn/zwgk/zfxxgkqjjg/tjj1/fdzdgknr34/tjxx34/202012/t20201227_5212477.html</x:v>
      </x:c>
      <x:c r="M41" s="33" t="str">
        <x:v>原表单位万元后换算</x:v>
      </x:c>
    </x:row>
    <x:row r="42" ht="42" customHeight="1">
      <x:c r="A42" s="30" t="str">
        <x:v>related</x:v>
      </x:c>
      <x:c r="B42" s="42" t="n">
        <x:v>2015</x:v>
      </x:c>
      <x:c r="C42" s="30" t="n">
        <x:v>2015</x:v>
      </x:c>
      <x:c r="D42" s="30" t="n">
        <x:v>2015</x:v>
      </x:c>
      <x:c r="E42" s="30" t="str">
        <x:v>annual</x:v>
      </x:c>
      <x:c r="F42" s="30" t="str">
        <x:v>social_retail_sales</x:v>
      </x:c>
      <x:c r="G42" s="30" t="n">
        <x:v>178.1839</x:v>
      </x:c>
      <x:c r="H42" s="30" t="str">
        <x:v>100m_cny</x:v>
      </x:c>
      <x:c r="I42" s="30" t="str">
        <x:v>observed</x:v>
      </x:c>
      <x:c r="J42" s="30" t="str">
        <x:v>gov_jz_tourism_stats_2015</x:v>
      </x:c>
      <x:c r="K42" s="30"/>
      <x:c r="L42" s="33" t="str">
        <x:v>https://www.tjjz.gov.cn/zwgk/zfxxgkqjjg/tjj1/fdzdgknr34/tjxx34/202012/t20201227_5212477.html</x:v>
      </x:c>
      <x:c r="M42" s="33" t="str">
        <x:v>原表单位万元后换算</x:v>
      </x:c>
    </x:row>
    <x:row r="43" ht="42" customHeight="1">
      <x:c r="A43" s="30" t="str">
        <x:v>related</x:v>
      </x:c>
      <x:c r="B43" s="42" t="n">
        <x:v>2016</x:v>
      </x:c>
      <x:c r="C43" s="30" t="n">
        <x:v>2016</x:v>
      </x:c>
      <x:c r="D43" s="30" t="n">
        <x:v>2016</x:v>
      </x:c>
      <x:c r="E43" s="30" t="str">
        <x:v>annual</x:v>
      </x:c>
      <x:c r="F43" s="30" t="str">
        <x:v>fixed_asset_investment</x:v>
      </x:c>
      <x:c r="G43" s="30" t="n">
        <x:v>788.6939</x:v>
      </x:c>
      <x:c r="H43" s="30" t="str">
        <x:v>100m_cny</x:v>
      </x:c>
      <x:c r="I43" s="30" t="str">
        <x:v>observed</x:v>
      </x:c>
      <x:c r="J43" s="30" t="str">
        <x:v>gov_jz_tourism_stats_2016</x:v>
      </x:c>
      <x:c r="K43" s="30"/>
      <x:c r="L43" s="33" t="str">
        <x:v>https://www.tjjz.gov.cn/zwgk/zfxxgkqjjg/tjj1/fdzdgknr34/tjxx34/202012/t20201227_5212519.html</x:v>
      </x:c>
      <x:c r="M43" s="33" t="str">
        <x:v>原表单位万元后换算</x:v>
      </x:c>
    </x:row>
    <x:row r="44" ht="42" customHeight="1">
      <x:c r="A44" s="30" t="str">
        <x:v>related</x:v>
      </x:c>
      <x:c r="B44" s="42" t="n">
        <x:v>2016</x:v>
      </x:c>
      <x:c r="C44" s="30" t="n">
        <x:v>2016</x:v>
      </x:c>
      <x:c r="D44" s="30" t="n">
        <x:v>2016</x:v>
      </x:c>
      <x:c r="E44" s="30" t="str">
        <x:v>annual</x:v>
      </x:c>
      <x:c r="F44" s="30" t="str">
        <x:v>rural_disposable_income</x:v>
      </x:c>
      <x:c r="G44" s="30" t="n">
        <x:v>19165</x:v>
      </x:c>
      <x:c r="H44" s="30" t="str">
        <x:v>cny_per_person</x:v>
      </x:c>
      <x:c r="I44" s="30" t="str">
        <x:v>observed</x:v>
      </x:c>
      <x:c r="J44" s="30" t="str">
        <x:v>gov_jz_tourism_stats_2016</x:v>
      </x:c>
      <x:c r="K44" s="30"/>
      <x:c r="L44" s="33" t="str">
        <x:v>https://www.tjjz.gov.cn/zwgk/zfxxgkqjjg/tjj1/fdzdgknr34/tjxx34/202012/t20201227_5212519.html</x:v>
      </x:c>
      <x:c r="M44" s="33"/>
    </x:row>
    <x:row r="45" ht="42" customHeight="1">
      <x:c r="A45" s="30" t="str">
        <x:v>related</x:v>
      </x:c>
      <x:c r="B45" s="42" t="n">
        <x:v>2016</x:v>
      </x:c>
      <x:c r="C45" s="30" t="n">
        <x:v>2016</x:v>
      </x:c>
      <x:c r="D45" s="30" t="n">
        <x:v>2016</x:v>
      </x:c>
      <x:c r="E45" s="30" t="str">
        <x:v>annual</x:v>
      </x:c>
      <x:c r="F45" s="30" t="str">
        <x:v>social_retail_sales</x:v>
      </x:c>
      <x:c r="G45" s="30" t="n">
        <x:v>184.3526</x:v>
      </x:c>
      <x:c r="H45" s="30" t="str">
        <x:v>100m_cny</x:v>
      </x:c>
      <x:c r="I45" s="30" t="str">
        <x:v>observed</x:v>
      </x:c>
      <x:c r="J45" s="30" t="str">
        <x:v>gov_jz_tourism_stats_2016</x:v>
      </x:c>
      <x:c r="K45" s="30"/>
      <x:c r="L45" s="33" t="str">
        <x:v>https://www.tjjz.gov.cn/zwgk/zfxxgkqjjg/tjj1/fdzdgknr34/tjxx34/202012/t20201227_5212519.html</x:v>
      </x:c>
      <x:c r="M45" s="33" t="str">
        <x:v>原表单位万元后换算</x:v>
      </x:c>
    </x:row>
    <x:row r="46" ht="42" customHeight="1">
      <x:c r="A46" s="30" t="str">
        <x:v>related</x:v>
      </x:c>
      <x:c r="B46" s="42" t="n">
        <x:v>2016</x:v>
      </x:c>
      <x:c r="C46" s="30" t="n">
        <x:v>2016</x:v>
      </x:c>
      <x:c r="D46" s="30" t="n">
        <x:v>2016</x:v>
      </x:c>
      <x:c r="E46" s="30" t="str">
        <x:v>annual</x:v>
      </x:c>
      <x:c r="F46" s="30" t="str">
        <x:v>urban_disposable_income</x:v>
      </x:c>
      <x:c r="G46" s="30" t="n">
        <x:v>23042</x:v>
      </x:c>
      <x:c r="H46" s="30" t="str">
        <x:v>cny_per_person</x:v>
      </x:c>
      <x:c r="I46" s="30" t="str">
        <x:v>observed</x:v>
      </x:c>
      <x:c r="J46" s="30" t="str">
        <x:v>gov_jz_tourism_stats_2016</x:v>
      </x:c>
      <x:c r="K46" s="30"/>
      <x:c r="L46" s="33" t="str">
        <x:v>https://www.tjjz.gov.cn/zwgk/zfxxgkqjjg/tjj1/fdzdgknr34/tjxx34/202012/t20201227_5212519.html</x:v>
      </x:c>
      <x:c r="M46" s="33"/>
    </x:row>
    <x:row r="47" ht="42" customHeight="1">
      <x:c r="A47" s="30" t="str">
        <x:v>related</x:v>
      </x:c>
      <x:c r="B47" s="42" t="n">
        <x:v>2017</x:v>
      </x:c>
      <x:c r="C47" s="30" t="n">
        <x:v>2017</x:v>
      </x:c>
      <x:c r="D47" s="30" t="n">
        <x:v>2017</x:v>
      </x:c>
      <x:c r="E47" s="30" t="str">
        <x:v>annual</x:v>
      </x:c>
      <x:c r="F47" s="30" t="str">
        <x:v>all_resident_disposable_income</x:v>
      </x:c>
      <x:c r="G47" s="30" t="n">
        <x:v>24989</x:v>
      </x:c>
      <x:c r="H47" s="30" t="str">
        <x:v>cny_per_person</x:v>
      </x:c>
      <x:c r="I47" s="30" t="str">
        <x:v>observed</x:v>
      </x:c>
      <x:c r="J47" s="30" t="str">
        <x:v>gov_jz_tourism_stats_2017</x:v>
      </x:c>
      <x:c r="K47" s="30"/>
      <x:c r="L47" s="33" t="str">
        <x:v>https://www.tjjz.gov.cn/zwgk/zfxxgkqjjg/tjj1/fdzdgknr34/tjxx34/202012/t20201227_5212503.html</x:v>
      </x:c>
      <x:c r="M47" s="33"/>
    </x:row>
    <x:row r="48" ht="42" customHeight="1">
      <x:c r="A48" s="30" t="str">
        <x:v>related</x:v>
      </x:c>
      <x:c r="B48" s="42" t="n">
        <x:v>2017</x:v>
      </x:c>
      <x:c r="C48" s="30" t="n">
        <x:v>2017</x:v>
      </x:c>
      <x:c r="D48" s="30" t="n">
        <x:v>2017</x:v>
      </x:c>
      <x:c r="E48" s="30" t="str">
        <x:v>annual</x:v>
      </x:c>
      <x:c r="F48" s="30" t="str">
        <x:v>fixed_asset_investment</x:v>
      </x:c>
      <x:c r="G48" s="30" t="n">
        <x:v>758.0224</x:v>
      </x:c>
      <x:c r="H48" s="30" t="str">
        <x:v>100m_cny</x:v>
      </x:c>
      <x:c r="I48" s="30" t="str">
        <x:v>observed</x:v>
      </x:c>
      <x:c r="J48" s="30" t="str">
        <x:v>gov_jz_tourism_stats_2017</x:v>
      </x:c>
      <x:c r="K48" s="30"/>
      <x:c r="L48" s="33" t="str">
        <x:v>https://www.tjjz.gov.cn/zwgk/zfxxgkqjjg/tjj1/fdzdgknr34/tjxx34/202012/t20201227_5212503.html</x:v>
      </x:c>
      <x:c r="M48" s="33" t="str">
        <x:v>原表单位万元后换算</x:v>
      </x:c>
    </x:row>
    <x:row r="49" ht="42" customHeight="1">
      <x:c r="A49" s="30" t="str">
        <x:v>related</x:v>
      </x:c>
      <x:c r="B49" s="42" t="n">
        <x:v>2017</x:v>
      </x:c>
      <x:c r="C49" s="30" t="n">
        <x:v>2017</x:v>
      </x:c>
      <x:c r="D49" s="30" t="n">
        <x:v>2017</x:v>
      </x:c>
      <x:c r="E49" s="30" t="str">
        <x:v>annual</x:v>
      </x:c>
      <x:c r="F49" s="30" t="str">
        <x:v>rural_disposable_income</x:v>
      </x:c>
      <x:c r="G49" s="30" t="n">
        <x:v>20774</x:v>
      </x:c>
      <x:c r="H49" s="30" t="str">
        <x:v>cny_per_person</x:v>
      </x:c>
      <x:c r="I49" s="30" t="str">
        <x:v>observed</x:v>
      </x:c>
      <x:c r="J49" s="30" t="str">
        <x:v>gov_jz_tourism_stats_2017</x:v>
      </x:c>
      <x:c r="K49" s="30"/>
      <x:c r="L49" s="33" t="str">
        <x:v>https://www.tjjz.gov.cn/zwgk/zfxxgkqjjg/tjj1/fdzdgknr34/tjxx34/202012/t20201227_5212503.html</x:v>
      </x:c>
      <x:c r="M49" s="33"/>
    </x:row>
    <x:row r="50" ht="42" customHeight="1">
      <x:c r="A50" s="30" t="str">
        <x:v>related</x:v>
      </x:c>
      <x:c r="B50" s="42" t="n">
        <x:v>2017</x:v>
      </x:c>
      <x:c r="C50" s="30" t="n">
        <x:v>2017</x:v>
      </x:c>
      <x:c r="D50" s="30" t="n">
        <x:v>2017</x:v>
      </x:c>
      <x:c r="E50" s="30" t="str">
        <x:v>annual</x:v>
      </x:c>
      <x:c r="F50" s="30" t="str">
        <x:v>social_retail_sales</x:v>
      </x:c>
      <x:c r="G50" s="30" t="n">
        <x:v>188.817</x:v>
      </x:c>
      <x:c r="H50" s="30" t="str">
        <x:v>100m_cny</x:v>
      </x:c>
      <x:c r="I50" s="30" t="str">
        <x:v>observed</x:v>
      </x:c>
      <x:c r="J50" s="30" t="str">
        <x:v>gov_jz_tourism_stats_2017</x:v>
      </x:c>
      <x:c r="K50" s="30"/>
      <x:c r="L50" s="33" t="str">
        <x:v>https://www.tjjz.gov.cn/zwgk/zfxxgkqjjg/tjj1/fdzdgknr34/tjxx34/202012/t20201227_5212503.html</x:v>
      </x:c>
      <x:c r="M50" s="33" t="str">
        <x:v>原表单位万元后换算</x:v>
      </x:c>
    </x:row>
    <x:row r="51" ht="42" customHeight="1">
      <x:c r="A51" s="30" t="str">
        <x:v>related</x:v>
      </x:c>
      <x:c r="B51" s="42" t="n">
        <x:v>2017</x:v>
      </x:c>
      <x:c r="C51" s="30" t="n">
        <x:v>2017</x:v>
      </x:c>
      <x:c r="D51" s="30" t="n">
        <x:v>2017</x:v>
      </x:c>
      <x:c r="E51" s="30" t="str">
        <x:v>annual</x:v>
      </x:c>
      <x:c r="F51" s="30" t="str">
        <x:v>urban_disposable_income</x:v>
      </x:c>
      <x:c r="G51" s="30" t="n">
        <x:v>31182</x:v>
      </x:c>
      <x:c r="H51" s="30" t="str">
        <x:v>cny_per_person</x:v>
      </x:c>
      <x:c r="I51" s="30" t="str">
        <x:v>observed</x:v>
      </x:c>
      <x:c r="J51" s="30" t="str">
        <x:v>gov_jz_tourism_stats_2017</x:v>
      </x:c>
      <x:c r="K51" s="30"/>
      <x:c r="L51" s="33" t="str">
        <x:v>https://www.tjjz.gov.cn/zwgk/zfxxgkqjjg/tjj1/fdzdgknr34/tjxx34/202012/t20201227_5212503.html</x:v>
      </x:c>
      <x:c r="M51" s="33"/>
    </x:row>
    <x:row r="52" ht="42" customHeight="1">
      <x:c r="A52" s="30" t="str">
        <x:v>related</x:v>
      </x:c>
      <x:c r="B52" s="42" t="n">
        <x:v>2019</x:v>
      </x:c>
      <x:c r="C52" s="30" t="n">
        <x:v>2019</x:v>
      </x:c>
      <x:c r="D52" s="30" t="n">
        <x:v>2019</x:v>
      </x:c>
      <x:c r="E52" s="30" t="str">
        <x:v>annual</x:v>
      </x:c>
      <x:c r="F52" s="30" t="str">
        <x:v>all_resident_disposable_income</x:v>
      </x:c>
      <x:c r="G52" s="30" t="n">
        <x:v>28568</x:v>
      </x:c>
      <x:c r="H52" s="30" t="str">
        <x:v>cny_per_person</x:v>
      </x:c>
      <x:c r="I52" s="30" t="str">
        <x:v>observed</x:v>
      </x:c>
      <x:c r="J52" s="30" t="str">
        <x:v>gov_jz_bulletin_2019</x:v>
      </x:c>
      <x:c r="K52" s="30"/>
      <x:c r="L52" s="33" t="str">
        <x:v>https://www.tjjz.gov.cn/zwgk/zfxxgkqjjg/tjj1/fdzdgknr34/tjxx34/202107/t20210705_5495855.html</x:v>
      </x:c>
      <x:c r="M52" s="33"/>
    </x:row>
    <x:row r="53" ht="42" customHeight="1">
      <x:c r="A53" s="30" t="str">
        <x:v>related</x:v>
      </x:c>
      <x:c r="B53" s="42" t="n">
        <x:v>2019</x:v>
      </x:c>
      <x:c r="C53" s="30" t="n">
        <x:v>2019</x:v>
      </x:c>
      <x:c r="D53" s="30" t="n">
        <x:v>2019</x:v>
      </x:c>
      <x:c r="E53" s="30" t="str">
        <x:v>annual</x:v>
      </x:c>
      <x:c r="F53" s="30" t="str">
        <x:v>permanent_population</x:v>
      </x:c>
      <x:c r="G53" s="30" t="n">
        <x:v>89.45</x:v>
      </x:c>
      <x:c r="H53" s="30" t="str">
        <x:v>10k_persons</x:v>
      </x:c>
      <x:c r="I53" s="30" t="str">
        <x:v>observed</x:v>
      </x:c>
      <x:c r="J53" s="30" t="str">
        <x:v>gov_jz_bulletin_2019</x:v>
      </x:c>
      <x:c r="K53" s="30"/>
      <x:c r="L53" s="33" t="str">
        <x:v>https://www.tjjz.gov.cn/zwgk/zfxxgkqjjg/tjj1/fdzdgknr34/tjxx34/202107/t20210705_5495855.html</x:v>
      </x:c>
      <x:c r="M53" s="33"/>
    </x:row>
    <x:row r="54" ht="42" customHeight="1">
      <x:c r="A54" s="30" t="str">
        <x:v>related</x:v>
      </x:c>
      <x:c r="B54" s="42" t="n">
        <x:v>2019</x:v>
      </x:c>
      <x:c r="C54" s="30" t="n">
        <x:v>2019</x:v>
      </x:c>
      <x:c r="D54" s="30" t="n">
        <x:v>2019</x:v>
      </x:c>
      <x:c r="E54" s="30" t="str">
        <x:v>annual</x:v>
      </x:c>
      <x:c r="F54" s="30" t="str">
        <x:v>road_mileage</x:v>
      </x:c>
      <x:c r="G54" s="30" t="n">
        <x:v>3073</x:v>
      </x:c>
      <x:c r="H54" s="30" t="str">
        <x:v>km</x:v>
      </x:c>
      <x:c r="I54" s="30" t="str">
        <x:v>observed</x:v>
      </x:c>
      <x:c r="J54" s="30" t="str">
        <x:v>gov_jz_bulletin_2019</x:v>
      </x:c>
      <x:c r="K54" s="30"/>
      <x:c r="L54" s="33" t="str">
        <x:v>https://www.tjjz.gov.cn/zwgk/zfxxgkqjjg/tjj1/fdzdgknr34/tjxx34/202107/t20210705_5495855.html</x:v>
      </x:c>
      <x:c r="M54" s="33"/>
    </x:row>
    <x:row r="55" ht="42" customHeight="1">
      <x:c r="A55" s="30" t="str">
        <x:v>related</x:v>
      </x:c>
      <x:c r="B55" s="42" t="n">
        <x:v>2020</x:v>
      </x:c>
      <x:c r="C55" s="30" t="n">
        <x:v>2020</x:v>
      </x:c>
      <x:c r="D55" s="30" t="n">
        <x:v>2020</x:v>
      </x:c>
      <x:c r="E55" s="30" t="str">
        <x:v>annual</x:v>
      </x:c>
      <x:c r="F55" s="30" t="str">
        <x:v>all_resident_disposable_income</x:v>
      </x:c>
      <x:c r="G55" s="30" t="n">
        <x:v>29573</x:v>
      </x:c>
      <x:c r="H55" s="30" t="str">
        <x:v>cny_per_person</x:v>
      </x:c>
      <x:c r="I55" s="30" t="str">
        <x:v>observed</x:v>
      </x:c>
      <x:c r="J55" s="30" t="str">
        <x:v>gov_jz_bulletin_2020</x:v>
      </x:c>
      <x:c r="K55" s="30"/>
      <x:c r="L55" s="33" t="str">
        <x:v>https://www.tjjz.gov.cn/zwgk/zfxxgkqjjg/tjj1/fdzdgknr34/tjxx34/202111/t20211115_5703949.html</x:v>
      </x:c>
      <x:c r="M55" s="33"/>
    </x:row>
    <x:row r="56" ht="42" customHeight="1">
      <x:c r="A56" s="30" t="str">
        <x:v>related</x:v>
      </x:c>
      <x:c r="B56" s="42" t="n">
        <x:v>2020</x:v>
      </x:c>
      <x:c r="C56" s="30" t="n">
        <x:v>2020</x:v>
      </x:c>
      <x:c r="D56" s="30" t="n">
        <x:v>2020</x:v>
      </x:c>
      <x:c r="E56" s="30" t="str">
        <x:v>annual</x:v>
      </x:c>
      <x:c r="F56" s="30" t="str">
        <x:v>general_public_budget_expenditure</x:v>
      </x:c>
      <x:c r="G56" s="30" t="n">
        <x:v>81.5</x:v>
      </x:c>
      <x:c r="H56" s="30" t="str">
        <x:v>100m_cny</x:v>
      </x:c>
      <x:c r="I56" s="30" t="str">
        <x:v>observed</x:v>
      </x:c>
      <x:c r="J56" s="30" t="str">
        <x:v>gov_jz_bulletin_2020</x:v>
      </x:c>
      <x:c r="K56" s="30"/>
      <x:c r="L56" s="33" t="str">
        <x:v>https://www.tjjz.gov.cn/zwgk/zfxxgkqjjg/tjj1/fdzdgknr34/tjxx34/202111/t20211115_5703949.html</x:v>
      </x:c>
      <x:c r="M56" s="33"/>
    </x:row>
    <x:row r="57" ht="42" customHeight="1">
      <x:c r="A57" s="30" t="str">
        <x:v>related</x:v>
      </x:c>
      <x:c r="B57" s="42" t="n">
        <x:v>2020</x:v>
      </x:c>
      <x:c r="C57" s="30" t="n">
        <x:v>2020</x:v>
      </x:c>
      <x:c r="D57" s="30" t="n">
        <x:v>2020</x:v>
      </x:c>
      <x:c r="E57" s="30" t="str">
        <x:v>annual</x:v>
      </x:c>
      <x:c r="F57" s="30" t="str">
        <x:v>social_retail_sales_yoy</x:v>
      </x:c>
      <x:c r="G57" s="30" t="n">
        <x:v>-19.1</x:v>
      </x:c>
      <x:c r="H57" s="30" t="str">
        <x:v>percent</x:v>
      </x:c>
      <x:c r="I57" s="30" t="str">
        <x:v>observed</x:v>
      </x:c>
      <x:c r="J57" s="30" t="str">
        <x:v>gov_jz_bulletin_2020</x:v>
      </x:c>
      <x:c r="K57" s="30"/>
      <x:c r="L57" s="33" t="str">
        <x:v>https://www.tjjz.gov.cn/zwgk/zfxxgkqjjg/tjj1/fdzdgknr34/tjxx34/202111/t20211115_5703949.html</x:v>
      </x:c>
      <x:c r="M57" s="33" t="str">
        <x:v>仅公布同比增速</x:v>
      </x:c>
    </x:row>
    <x:row r="58" ht="42" customHeight="1">
      <x:c r="A58" s="30" t="str">
        <x:v>related</x:v>
      </x:c>
      <x:c r="B58" s="42" t="n">
        <x:v>2021</x:v>
      </x:c>
      <x:c r="C58" s="30" t="n">
        <x:v>2021</x:v>
      </x:c>
      <x:c r="D58" s="30" t="n">
        <x:v>2021</x:v>
      </x:c>
      <x:c r="E58" s="30" t="str">
        <x:v>annual</x:v>
      </x:c>
      <x:c r="F58" s="30" t="str">
        <x:v>all_resident_disposable_income</x:v>
      </x:c>
      <x:c r="G58" s="30" t="n">
        <x:v>32008</x:v>
      </x:c>
      <x:c r="H58" s="30" t="str">
        <x:v>cny_per_person</x:v>
      </x:c>
      <x:c r="I58" s="30" t="str">
        <x:v>observed</x:v>
      </x:c>
      <x:c r="J58" s="30" t="str">
        <x:v>gov_jz_bulletin_2021</x:v>
      </x:c>
      <x:c r="K58" s="30"/>
      <x:c r="L58" s="33" t="str">
        <x:v>https://www.tjjz.gov.cn/zwgk/sjfb/tjgb/202211/t20221128_6044247.html</x:v>
      </x:c>
      <x:c r="M58" s="33"/>
    </x:row>
    <x:row r="59" ht="42" customHeight="1">
      <x:c r="A59" s="30" t="str">
        <x:v>related</x:v>
      </x:c>
      <x:c r="B59" s="42" t="n">
        <x:v>2021</x:v>
      </x:c>
      <x:c r="C59" s="30" t="n">
        <x:v>2021</x:v>
      </x:c>
      <x:c r="D59" s="30" t="n">
        <x:v>2021</x:v>
      </x:c>
      <x:c r="E59" s="30" t="str">
        <x:v>annual</x:v>
      </x:c>
      <x:c r="F59" s="30" t="str">
        <x:v>general_public_budget_expenditure</x:v>
      </x:c>
      <x:c r="G59" s="30" t="n">
        <x:v>115.12</x:v>
      </x:c>
      <x:c r="H59" s="30" t="str">
        <x:v>100m_cny</x:v>
      </x:c>
      <x:c r="I59" s="30" t="str">
        <x:v>observed</x:v>
      </x:c>
      <x:c r="J59" s="30" t="str">
        <x:v>gov_jz_bulletin_2021</x:v>
      </x:c>
      <x:c r="K59" s="30"/>
      <x:c r="L59" s="33" t="str">
        <x:v>https://www.tjjz.gov.cn/zwgk/sjfb/tjgb/202211/t20221128_6044247.html</x:v>
      </x:c>
      <x:c r="M59" s="33"/>
    </x:row>
    <x:row r="60" ht="42" customHeight="1">
      <x:c r="A60" s="30" t="str">
        <x:v>related</x:v>
      </x:c>
      <x:c r="B60" s="42" t="n">
        <x:v>2021</x:v>
      </x:c>
      <x:c r="C60" s="30" t="n">
        <x:v>2021</x:v>
      </x:c>
      <x:c r="D60" s="30" t="n">
        <x:v>2021</x:v>
      </x:c>
      <x:c r="E60" s="30" t="str">
        <x:v>annual</x:v>
      </x:c>
      <x:c r="F60" s="30" t="str">
        <x:v>social_retail_sales</x:v>
      </x:c>
      <x:c r="G60" s="30" t="n">
        <x:v>55.45</x:v>
      </x:c>
      <x:c r="H60" s="30" t="str">
        <x:v>100m_cny</x:v>
      </x:c>
      <x:c r="I60" s="30" t="str">
        <x:v>observed</x:v>
      </x:c>
      <x:c r="J60" s="30" t="str">
        <x:v>gov_jz_bulletin_2021</x:v>
      </x:c>
      <x:c r="K60" s="30"/>
      <x:c r="L60" s="33" t="str">
        <x:v>https://www.tjjz.gov.cn/zwgk/sjfb/tjgb/202211/t20221128_6044247.html</x:v>
      </x:c>
      <x:c r="M60" s="33" t="str">
        <x:v>与2017年前旧统计表存在范围断点</x:v>
      </x:c>
    </x:row>
    <x:row r="61" ht="42" customHeight="1">
      <x:c r="A61" s="30" t="str">
        <x:v>related</x:v>
      </x:c>
      <x:c r="B61" s="42" t="n">
        <x:v>2022</x:v>
      </x:c>
      <x:c r="C61" s="30" t="n">
        <x:v>2022</x:v>
      </x:c>
      <x:c r="D61" s="30" t="n">
        <x:v>2022</x:v>
      </x:c>
      <x:c r="E61" s="30" t="str">
        <x:v>annual</x:v>
      </x:c>
      <x:c r="F61" s="30" t="str">
        <x:v>all_resident_disposable_income</x:v>
      </x:c>
      <x:c r="G61" s="30" t="n">
        <x:v>33073</x:v>
      </x:c>
      <x:c r="H61" s="30" t="str">
        <x:v>cny_per_person</x:v>
      </x:c>
      <x:c r="I61" s="30" t="str">
        <x:v>observed</x:v>
      </x:c>
      <x:c r="J61" s="30" t="str">
        <x:v>gov_jz_bulletin_2022</x:v>
      </x:c>
      <x:c r="K61" s="30"/>
      <x:c r="L61" s="33" t="str">
        <x:v>https://www.tjjz.gov.cn/zwgk/sjfb/tjgb/202311/t20231107_6450006.html</x:v>
      </x:c>
      <x:c r="M61" s="33"/>
    </x:row>
    <x:row r="62" ht="42" customHeight="1">
      <x:c r="A62" s="30" t="str">
        <x:v>related</x:v>
      </x:c>
      <x:c r="B62" s="42" t="n">
        <x:v>2022</x:v>
      </x:c>
      <x:c r="C62" s="30" t="n">
        <x:v>2022</x:v>
      </x:c>
      <x:c r="D62" s="30" t="n">
        <x:v>2022</x:v>
      </x:c>
      <x:c r="E62" s="30" t="str">
        <x:v>annual</x:v>
      </x:c>
      <x:c r="F62" s="30" t="str">
        <x:v>culture_tourism_sports_media_expenditure</x:v>
      </x:c>
      <x:c r="G62" s="30" t="n">
        <x:v>7445</x:v>
      </x:c>
      <x:c r="H62" s="30" t="str">
        <x:v>10k_cny</x:v>
      </x:c>
      <x:c r="I62" s="30" t="str">
        <x:v>observed</x:v>
      </x:c>
      <x:c r="J62" s="30" t="str">
        <x:v>gov_jz_yearbook_2022</x:v>
      </x:c>
      <x:c r="K62" s="30"/>
      <x:c r="L62" s="33" t="str">
        <x:v>https://www.tjjz.gov.cn/zwgk/sjfb/tjnb/202311/W020250107625663560312.pdf</x:v>
      </x:c>
      <x:c r="M62" s="33" t="str">
        <x:v>财政功能分类支出；并非全部旅游专项投入</x:v>
      </x:c>
    </x:row>
    <x:row r="63" ht="42" customHeight="1">
      <x:c r="A63" s="30" t="str">
        <x:v>related</x:v>
      </x:c>
      <x:c r="B63" s="42" t="n">
        <x:v>2022</x:v>
      </x:c>
      <x:c r="C63" s="30" t="n">
        <x:v>2022</x:v>
      </x:c>
      <x:c r="D63" s="30" t="n">
        <x:v>2022</x:v>
      </x:c>
      <x:c r="E63" s="30" t="str">
        <x:v>annual</x:v>
      </x:c>
      <x:c r="F63" s="30" t="str">
        <x:v>general_public_budget_expenditure</x:v>
      </x:c>
      <x:c r="G63" s="30" t="n">
        <x:v>92.8</x:v>
      </x:c>
      <x:c r="H63" s="30" t="str">
        <x:v>100m_cny</x:v>
      </x:c>
      <x:c r="I63" s="30" t="str">
        <x:v>observed</x:v>
      </x:c>
      <x:c r="J63" s="30" t="str">
        <x:v>gov_jz_bulletin_2022</x:v>
      </x:c>
      <x:c r="K63" s="30"/>
      <x:c r="L63" s="33" t="str">
        <x:v>https://www.tjjz.gov.cn/zwgk/sjfb/tjgb/202311/t20231107_6450006.html</x:v>
      </x:c>
      <x:c r="M63" s="33"/>
    </x:row>
    <x:row r="64" ht="42" customHeight="1">
      <x:c r="A64" s="30" t="str">
        <x:v>related</x:v>
      </x:c>
      <x:c r="B64" s="42" t="n">
        <x:v>2022</x:v>
      </x:c>
      <x:c r="C64" s="30" t="n">
        <x:v>2022</x:v>
      </x:c>
      <x:c r="D64" s="30" t="n">
        <x:v>2022</x:v>
      </x:c>
      <x:c r="E64" s="30" t="str">
        <x:v>annual</x:v>
      </x:c>
      <x:c r="F64" s="30" t="str">
        <x:v>social_retail_sales</x:v>
      </x:c>
      <x:c r="G64" s="30" t="n">
        <x:v>55.58</x:v>
      </x:c>
      <x:c r="H64" s="30" t="str">
        <x:v>100m_cny</x:v>
      </x:c>
      <x:c r="I64" s="30" t="str">
        <x:v>observed</x:v>
      </x:c>
      <x:c r="J64" s="30" t="str">
        <x:v>gov_jz_bulletin_2022</x:v>
      </x:c>
      <x:c r="K64" s="30"/>
      <x:c r="L64" s="33" t="str">
        <x:v>https://www.tjjz.gov.cn/zwgk/sjfb/tjgb/202311/t20231107_6450006.html</x:v>
      </x:c>
      <x:c r="M64" s="33"/>
    </x:row>
    <x:row r="65" ht="42" customHeight="1">
      <x:c r="A65" s="30" t="str">
        <x:v>related</x:v>
      </x:c>
      <x:c r="B65" s="42" t="n">
        <x:v>2023</x:v>
      </x:c>
      <x:c r="C65" s="30" t="n">
        <x:v>2023</x:v>
      </x:c>
      <x:c r="D65" s="30" t="n">
        <x:v>2023</x:v>
      </x:c>
      <x:c r="E65" s="30" t="str">
        <x:v>annual</x:v>
      </x:c>
      <x:c r="F65" s="30" t="str">
        <x:v>all_resident_disposable_income</x:v>
      </x:c>
      <x:c r="G65" s="30" t="n">
        <x:v>35116</x:v>
      </x:c>
      <x:c r="H65" s="30" t="str">
        <x:v>cny_per_person</x:v>
      </x:c>
      <x:c r="I65" s="30" t="str">
        <x:v>observed</x:v>
      </x:c>
      <x:c r="J65" s="30" t="str">
        <x:v>gov_jz_bulletin_2023</x:v>
      </x:c>
      <x:c r="K65" s="30"/>
      <x:c r="L65" s="33" t="str">
        <x:v>https://www.tjjz.gov.cn/zwgk/zfxxgkqjjg/tjj1/fdzdgknr34/tjxx34/202406/t20240627_6662772.html</x:v>
      </x:c>
      <x:c r="M65" s="33"/>
    </x:row>
    <x:row r="66" ht="42" customHeight="1">
      <x:c r="A66" s="30" t="str">
        <x:v>related</x:v>
      </x:c>
      <x:c r="B66" s="42" t="n">
        <x:v>2023</x:v>
      </x:c>
      <x:c r="C66" s="30" t="n">
        <x:v>2023</x:v>
      </x:c>
      <x:c r="D66" s="30" t="n">
        <x:v>2023</x:v>
      </x:c>
      <x:c r="E66" s="30" t="str">
        <x:v>annual</x:v>
      </x:c>
      <x:c r="F66" s="30" t="str">
        <x:v>culture_tourism_sports_media_expenditure</x:v>
      </x:c>
      <x:c r="G66" s="30" t="n">
        <x:v>5677</x:v>
      </x:c>
      <x:c r="H66" s="30" t="str">
        <x:v>10k_cny</x:v>
      </x:c>
      <x:c r="I66" s="30" t="str">
        <x:v>observed</x:v>
      </x:c>
      <x:c r="J66" s="30" t="str">
        <x:v>gov_jz_yearbook_2023</x:v>
      </x:c>
      <x:c r="K66" s="30"/>
      <x:c r="L66" s="33" t="str">
        <x:v>https://www.tjjz.gov.cn/zwgk/sjfb/tjnb/202501/W020250103638170510358.pdf</x:v>
      </x:c>
      <x:c r="M66" s="33" t="str">
        <x:v>财政功能分类支出；并非全部旅游专项投入</x:v>
      </x:c>
    </x:row>
    <x:row r="67" ht="42" customHeight="1">
      <x:c r="A67" s="30" t="str">
        <x:v>related</x:v>
      </x:c>
      <x:c r="B67" s="42" t="n">
        <x:v>2023</x:v>
      </x:c>
      <x:c r="C67" s="30" t="n">
        <x:v>2023</x:v>
      </x:c>
      <x:c r="D67" s="30" t="n">
        <x:v>2023</x:v>
      </x:c>
      <x:c r="E67" s="30" t="str">
        <x:v>annual</x:v>
      </x:c>
      <x:c r="F67" s="30" t="str">
        <x:v>general_public_budget_expenditure</x:v>
      </x:c>
      <x:c r="G67" s="30" t="n">
        <x:v>78.89</x:v>
      </x:c>
      <x:c r="H67" s="30" t="str">
        <x:v>100m_cny</x:v>
      </x:c>
      <x:c r="I67" s="30" t="str">
        <x:v>observed</x:v>
      </x:c>
      <x:c r="J67" s="30" t="str">
        <x:v>gov_jz_bulletin_2023</x:v>
      </x:c>
      <x:c r="K67" s="30"/>
      <x:c r="L67" s="33" t="str">
        <x:v>https://www.tjjz.gov.cn/zwgk/zfxxgkqjjg/tjj1/fdzdgknr34/tjxx34/202406/t20240627_6662772.html</x:v>
      </x:c>
      <x:c r="M67" s="33"/>
    </x:row>
    <x:row r="68" ht="42" customHeight="1">
      <x:c r="A68" s="30" t="str">
        <x:v>related</x:v>
      </x:c>
      <x:c r="B68" s="42" t="n">
        <x:v>2023</x:v>
      </x:c>
      <x:c r="C68" s="30" t="n">
        <x:v>2023</x:v>
      </x:c>
      <x:c r="D68" s="30" t="n">
        <x:v>2023</x:v>
      </x:c>
      <x:c r="E68" s="30" t="str">
        <x:v>annual</x:v>
      </x:c>
      <x:c r="F68" s="30" t="str">
        <x:v>social_retail_sales</x:v>
      </x:c>
      <x:c r="G68" s="30" t="n">
        <x:v>57.71</x:v>
      </x:c>
      <x:c r="H68" s="30" t="str">
        <x:v>100m_cny</x:v>
      </x:c>
      <x:c r="I68" s="30" t="str">
        <x:v>observed</x:v>
      </x:c>
      <x:c r="J68" s="30" t="str">
        <x:v>gov_jz_bulletin_2023</x:v>
      </x:c>
      <x:c r="K68" s="30"/>
      <x:c r="L68" s="33" t="str">
        <x:v>https://www.tjjz.gov.cn/zwgk/zfxxgkqjjg/tjj1/fdzdgknr34/tjxx34/202406/t20240627_6662772.html</x:v>
      </x:c>
      <x:c r="M68" s="33"/>
    </x:row>
    <x:row r="69" ht="42" customHeight="1">
      <x:c r="A69" s="30" t="str">
        <x:v>related</x:v>
      </x:c>
      <x:c r="B69" s="42" t="n">
        <x:v>2024</x:v>
      </x:c>
      <x:c r="C69" s="30" t="n">
        <x:v>2024</x:v>
      </x:c>
      <x:c r="D69" s="30" t="n">
        <x:v>2024</x:v>
      </x:c>
      <x:c r="E69" s="30" t="str">
        <x:v>annual</x:v>
      </x:c>
      <x:c r="F69" s="30" t="str">
        <x:v>all_resident_disposable_income</x:v>
      </x:c>
      <x:c r="G69" s="30" t="n">
        <x:v>36998</x:v>
      </x:c>
      <x:c r="H69" s="30" t="str">
        <x:v>cny_per_person</x:v>
      </x:c>
      <x:c r="I69" s="30" t="str">
        <x:v>observed</x:v>
      </x:c>
      <x:c r="J69" s="30" t="str">
        <x:v>gov_jz_bulletin_2024</x:v>
      </x:c>
      <x:c r="K69" s="30"/>
      <x:c r="L69" s="33" t="str">
        <x:v>https://www.tjjz.gov.cn/zwgk/sjfb/tjgb/202506/t20250630_6969506.html</x:v>
      </x:c>
      <x:c r="M69" s="33"/>
    </x:row>
    <x:row r="70" ht="42" customHeight="1">
      <x:c r="A70" s="30" t="str">
        <x:v>related</x:v>
      </x:c>
      <x:c r="B70" s="42" t="n">
        <x:v>2024</x:v>
      </x:c>
      <x:c r="C70" s="30" t="n">
        <x:v>2024</x:v>
      </x:c>
      <x:c r="D70" s="30" t="n">
        <x:v>2024</x:v>
      </x:c>
      <x:c r="E70" s="30" t="str">
        <x:v>annual</x:v>
      </x:c>
      <x:c r="F70" s="30" t="str">
        <x:v>culture_tourism_sports_media_expenditure</x:v>
      </x:c>
      <x:c r="G70" s="30" t="n">
        <x:v>5110</x:v>
      </x:c>
      <x:c r="H70" s="30" t="str">
        <x:v>10k_cny</x:v>
      </x:c>
      <x:c r="I70" s="30" t="str">
        <x:v>observed</x:v>
      </x:c>
      <x:c r="J70" s="30" t="str">
        <x:v>gov_jz_yearbook_2024</x:v>
      </x:c>
      <x:c r="K70" s="30"/>
      <x:c r="L70" s="33" t="str">
        <x:v>https://www.tjjz.gov.cn/zwgk/sjfb/tjnb/202511/W020251126560102082891.pdf</x:v>
      </x:c>
      <x:c r="M70" s="33" t="str">
        <x:v>财政功能分类支出；并非全部旅游专项投入</x:v>
      </x:c>
    </x:row>
    <x:row r="71" ht="42" customHeight="1">
      <x:c r="A71" s="30" t="str">
        <x:v>related</x:v>
      </x:c>
      <x:c r="B71" s="42" t="n">
        <x:v>2024</x:v>
      </x:c>
      <x:c r="C71" s="30" t="n">
        <x:v>2024</x:v>
      </x:c>
      <x:c r="D71" s="30" t="n">
        <x:v>2024</x:v>
      </x:c>
      <x:c r="E71" s="30" t="str">
        <x:v>annual</x:v>
      </x:c>
      <x:c r="F71" s="30" t="str">
        <x:v>general_public_budget_expenditure</x:v>
      </x:c>
      <x:c r="G71" s="30" t="n">
        <x:v>74.2</x:v>
      </x:c>
      <x:c r="H71" s="30" t="str">
        <x:v>100m_cny</x:v>
      </x:c>
      <x:c r="I71" s="30" t="str">
        <x:v>observed</x:v>
      </x:c>
      <x:c r="J71" s="30" t="str">
        <x:v>gov_jz_bulletin_2024</x:v>
      </x:c>
      <x:c r="K71" s="30"/>
      <x:c r="L71" s="33" t="str">
        <x:v>https://www.tjjz.gov.cn/zwgk/sjfb/tjgb/202506/t20250630_6969506.html</x:v>
      </x:c>
      <x:c r="M71" s="33"/>
    </x:row>
    <x:row r="72" ht="42" customHeight="1">
      <x:c r="A72" s="30" t="str">
        <x:v>related</x:v>
      </x:c>
      <x:c r="B72" s="42" t="n">
        <x:v>2024</x:v>
      </x:c>
      <x:c r="C72" s="30" t="n">
        <x:v>2024</x:v>
      </x:c>
      <x:c r="D72" s="30" t="n">
        <x:v>2024</x:v>
      </x:c>
      <x:c r="E72" s="30" t="str">
        <x:v>annual</x:v>
      </x:c>
      <x:c r="F72" s="30" t="str">
        <x:v>social_retail_sales</x:v>
      </x:c>
      <x:c r="G72" s="30" t="n">
        <x:v>58.88</x:v>
      </x:c>
      <x:c r="H72" s="30" t="str">
        <x:v>100m_cny</x:v>
      </x:c>
      <x:c r="I72" s="30" t="str">
        <x:v>observed</x:v>
      </x:c>
      <x:c r="J72" s="30" t="str">
        <x:v>gov_jz_bulletin_2024</x:v>
      </x:c>
      <x:c r="K72" s="30"/>
      <x:c r="L72" s="33" t="str">
        <x:v>https://www.tjjz.gov.cn/zwgk/sjfb/tjgb/202506/t20250630_6969506.html</x:v>
      </x:c>
      <x:c r="M72" s="33"/>
    </x:row>
    <x:row r="73" ht="42" customHeight="1">
      <x:c r="A73" s="30" t="str">
        <x:v>related</x:v>
      </x:c>
      <x:c r="B73" s="42" t="n">
        <x:v>2025</x:v>
      </x:c>
      <x:c r="C73" s="30" t="n">
        <x:v>2025</x:v>
      </x:c>
      <x:c r="D73" s="30" t="n">
        <x:v>2025</x:v>
      </x:c>
      <x:c r="E73" s="30" t="str">
        <x:v>annual</x:v>
      </x:c>
      <x:c r="F73" s="30" t="str">
        <x:v>all_resident_disposable_income</x:v>
      </x:c>
      <x:c r="G73" s="30" t="n">
        <x:v>38617</x:v>
      </x:c>
      <x:c r="H73" s="30" t="str">
        <x:v>cny_per_person</x:v>
      </x:c>
      <x:c r="I73" s="30" t="str">
        <x:v>observed</x:v>
      </x:c>
      <x:c r="J73" s="30" t="str">
        <x:v>gov_jz_bulletin_2025</x:v>
      </x:c>
      <x:c r="K73" s="30"/>
      <x:c r="L73" s="33" t="str">
        <x:v>https://www.tjjz.gov.cn/zwgk/sjfb/tjgb/202606/t20260629_7325623.html</x:v>
      </x:c>
      <x:c r="M73" s="33"/>
    </x:row>
    <x:row r="74" ht="42" customHeight="1">
      <x:c r="A74" s="30" t="str">
        <x:v>related</x:v>
      </x:c>
      <x:c r="B74" s="42" t="n">
        <x:v>2025</x:v>
      </x:c>
      <x:c r="C74" s="30" t="n">
        <x:v>2025</x:v>
      </x:c>
      <x:c r="D74" s="30" t="n">
        <x:v>2025</x:v>
      </x:c>
      <x:c r="E74" s="30" t="str">
        <x:v>annual</x:v>
      </x:c>
      <x:c r="F74" s="30" t="str">
        <x:v>general_public_budget_expenditure</x:v>
      </x:c>
      <x:c r="G74" s="30" t="n">
        <x:v>83.76</x:v>
      </x:c>
      <x:c r="H74" s="30" t="str">
        <x:v>100m_cny</x:v>
      </x:c>
      <x:c r="I74" s="30" t="str">
        <x:v>observed</x:v>
      </x:c>
      <x:c r="J74" s="30" t="str">
        <x:v>gov_jz_bulletin_2025</x:v>
      </x:c>
      <x:c r="K74" s="30"/>
      <x:c r="L74" s="33" t="str">
        <x:v>https://www.tjjz.gov.cn/zwgk/sjfb/tjgb/202606/t20260629_7325623.html</x:v>
      </x:c>
      <x:c r="M74" s="33"/>
    </x:row>
    <x:row r="75" ht="42" customHeight="1">
      <x:c r="A75" s="30" t="str">
        <x:v>related</x:v>
      </x:c>
      <x:c r="B75" s="42" t="n">
        <x:v>2025</x:v>
      </x:c>
      <x:c r="C75" s="30" t="n">
        <x:v>2025</x:v>
      </x:c>
      <x:c r="D75" s="30" t="n">
        <x:v>2025</x:v>
      </x:c>
      <x:c r="E75" s="30" t="str">
        <x:v>annual</x:v>
      </x:c>
      <x:c r="F75" s="30" t="str">
        <x:v>social_retail_sales</x:v>
      </x:c>
      <x:c r="G75" s="30" t="n">
        <x:v>75.58</x:v>
      </x:c>
      <x:c r="H75" s="30" t="str">
        <x:v>100m_cny</x:v>
      </x:c>
      <x:c r="I75" s="30" t="str">
        <x:v>observed</x:v>
      </x:c>
      <x:c r="J75" s="30" t="str">
        <x:v>gov_jz_bulletin_2025</x:v>
      </x:c>
      <x:c r="K75" s="30"/>
      <x:c r="L75" s="33" t="str">
        <x:v>https://www.tjjz.gov.cn/zwgk/sjfb/tjgb/202606/t20260629_7325623.html</x:v>
      </x:c>
      <x:c r="M75" s="33" t="str">
        <x:v>与2024年同比口径存在需进一步核验的水平跃升</x:v>
      </x:c>
    </x:row>
    <x:row r="76" ht="42" customHeight="1">
      <x:c r="A76" s="30" t="str">
        <x:v>tianjin_benchmark</x:v>
      </x:c>
      <x:c r="B76" s="42" t="n">
        <x:v>2020</x:v>
      </x:c>
      <x:c r="C76" s="30" t="n">
        <x:v>2020</x:v>
      </x:c>
      <x:c r="D76" s="30" t="n">
        <x:v>2020</x:v>
      </x:c>
      <x:c r="E76" s="30" t="str">
        <x:v>annual</x:v>
      </x:c>
      <x:c r="F76" s="30" t="str">
        <x:v>tianjin_tourism_income</x:v>
      </x:c>
      <x:c r="G76" s="30" t="n">
        <x:v>1331.42</x:v>
      </x:c>
      <x:c r="H76" s="30" t="str">
        <x:v>100m_cny</x:v>
      </x:c>
      <x:c r="I76" s="30" t="str">
        <x:v>observed</x:v>
      </x:c>
      <x:c r="J76" s="30" t="str">
        <x:v>gov_tj_bulletin_2020_tourism</x:v>
      </x:c>
      <x:c r="K76" s="30" t="n">
        <x:v>1</x:v>
      </x:c>
      <x:c r="L76" s="33"/>
      <x:c r="M76" s="33" t="str">
        <x:v>网络复核的天津市统计公报基准值</x:v>
      </x:c>
    </x:row>
    <x:row r="77" ht="42" customHeight="1">
      <x:c r="A77" s="30" t="str">
        <x:v>tianjin_benchmark</x:v>
      </x:c>
      <x:c r="B77" s="42" t="n">
        <x:v>2020</x:v>
      </x:c>
      <x:c r="C77" s="30" t="n">
        <x:v>2020</x:v>
      </x:c>
      <x:c r="D77" s="30" t="n">
        <x:v>2020</x:v>
      </x:c>
      <x:c r="E77" s="30" t="str">
        <x:v>annual</x:v>
      </x:c>
      <x:c r="F77" s="30" t="str">
        <x:v>tianjin_tourist_visits</x:v>
      </x:c>
      <x:c r="G77" s="30" t="n">
        <x:v>14100</x:v>
      </x:c>
      <x:c r="H77" s="30" t="str">
        <x:v>10k_persons</x:v>
      </x:c>
      <x:c r="I77" s="30" t="str">
        <x:v>observed</x:v>
      </x:c>
      <x:c r="J77" s="30" t="str">
        <x:v>gov_tj_bulletin_2020_tourism</x:v>
      </x:c>
      <x:c r="K77" s="30" t="n">
        <x:v>1</x:v>
      </x:c>
      <x:c r="L77" s="33"/>
      <x:c r="M77" s="33" t="str">
        <x:v>网络复核的天津市统计公报基准值</x:v>
      </x:c>
    </x:row>
    <x:row r="78" ht="42" customHeight="1">
      <x:c r="A78" s="30" t="str">
        <x:v>tianjin_benchmark</x:v>
      </x:c>
      <x:c r="B78" s="42" t="n">
        <x:v>2021</x:v>
      </x:c>
      <x:c r="C78" s="30" t="n">
        <x:v>2021</x:v>
      </x:c>
      <x:c r="D78" s="30" t="n">
        <x:v>2021</x:v>
      </x:c>
      <x:c r="E78" s="30" t="str">
        <x:v>annual</x:v>
      </x:c>
      <x:c r="F78" s="30" t="str">
        <x:v>tianjin_tourism_income</x:v>
      </x:c>
      <x:c r="G78" s="30" t="n">
        <x:v>1968.81</x:v>
      </x:c>
      <x:c r="H78" s="30" t="str">
        <x:v>100m_cny</x:v>
      </x:c>
      <x:c r="I78" s="30" t="str">
        <x:v>observed</x:v>
      </x:c>
      <x:c r="J78" s="30" t="str">
        <x:v>gov_tj_bulletin_2021_tourism</x:v>
      </x:c>
      <x:c r="K78" s="30" t="n">
        <x:v>1</x:v>
      </x:c>
      <x:c r="L78" s="33"/>
      <x:c r="M78" s="33" t="str">
        <x:v>网络复核的天津市统计公报基准值</x:v>
      </x:c>
    </x:row>
    <x:row r="79" ht="42" customHeight="1">
      <x:c r="A79" s="30" t="str">
        <x:v>tianjin_benchmark</x:v>
      </x:c>
      <x:c r="B79" s="42" t="n">
        <x:v>2021</x:v>
      </x:c>
      <x:c r="C79" s="30" t="n">
        <x:v>2021</x:v>
      </x:c>
      <x:c r="D79" s="30" t="n">
        <x:v>2021</x:v>
      </x:c>
      <x:c r="E79" s="30" t="str">
        <x:v>annual</x:v>
      </x:c>
      <x:c r="F79" s="30" t="str">
        <x:v>tianjin_tourist_visits</x:v>
      </x:c>
      <x:c r="G79" s="30" t="n">
        <x:v>17900</x:v>
      </x:c>
      <x:c r="H79" s="30" t="str">
        <x:v>10k_persons</x:v>
      </x:c>
      <x:c r="I79" s="30" t="str">
        <x:v>observed</x:v>
      </x:c>
      <x:c r="J79" s="30" t="str">
        <x:v>gov_tj_bulletin_2021_tourism</x:v>
      </x:c>
      <x:c r="K79" s="30" t="n">
        <x:v>1</x:v>
      </x:c>
      <x:c r="L79" s="33"/>
      <x:c r="M79" s="33" t="str">
        <x:v>网络复核的天津市统计公报基准值</x:v>
      </x:c>
    </x:row>
    <x:row r="80" ht="42" customHeight="1">
      <x:c r="A80" s="30" t="str">
        <x:v>tianjin_benchmark</x:v>
      </x:c>
      <x:c r="B80" s="42" t="n">
        <x:v>2023</x:v>
      </x:c>
      <x:c r="C80" s="30" t="n">
        <x:v>2023</x:v>
      </x:c>
      <x:c r="D80" s="30" t="n">
        <x:v>2023</x:v>
      </x:c>
      <x:c r="E80" s="30" t="str">
        <x:v>annual</x:v>
      </x:c>
      <x:c r="F80" s="30" t="str">
        <x:v>tianjin_tourism_income</x:v>
      </x:c>
      <x:c r="G80" s="30" t="n">
        <x:v>2215.41</x:v>
      </x:c>
      <x:c r="H80" s="30" t="str">
        <x:v>100m_cny</x:v>
      </x:c>
      <x:c r="I80" s="30" t="str">
        <x:v>observed</x:v>
      </x:c>
      <x:c r="J80" s="30" t="str">
        <x:v>gov_tj_bulletin_2023_tourism</x:v>
      </x:c>
      <x:c r="K80" s="30" t="n">
        <x:v>1</x:v>
      </x:c>
      <x:c r="L80" s="33"/>
      <x:c r="M80" s="33" t="str">
        <x:v>网络复核的天津市统计公报基准值</x:v>
      </x:c>
    </x:row>
    <x:row r="81" ht="42" customHeight="1">
      <x:c r="A81" s="30" t="str">
        <x:v>tianjin_benchmark</x:v>
      </x:c>
      <x:c r="B81" s="42" t="n">
        <x:v>2023</x:v>
      </x:c>
      <x:c r="C81" s="30" t="n">
        <x:v>2023</x:v>
      </x:c>
      <x:c r="D81" s="30" t="n">
        <x:v>2023</x:v>
      </x:c>
      <x:c r="E81" s="30" t="str">
        <x:v>annual</x:v>
      </x:c>
      <x:c r="F81" s="30" t="str">
        <x:v>tianjin_tourist_visits</x:v>
      </x:c>
      <x:c r="G81" s="30" t="n">
        <x:v>23600</x:v>
      </x:c>
      <x:c r="H81" s="30" t="str">
        <x:v>10k_persons</x:v>
      </x:c>
      <x:c r="I81" s="30" t="str">
        <x:v>observed</x:v>
      </x:c>
      <x:c r="J81" s="30" t="str">
        <x:v>gov_tj_bulletin_2023_tourism</x:v>
      </x:c>
      <x:c r="K81" s="30" t="n">
        <x:v>1</x:v>
      </x:c>
      <x:c r="L81" s="33"/>
      <x:c r="M81" s="33" t="str">
        <x:v>网络复核的天津市统计公报基准值</x:v>
      </x:c>
    </x:row>
    <x:row r="82" ht="42" customHeight="1">
      <x:c r="A82" s="30" t="str">
        <x:v>tianjin_benchmark</x:v>
      </x:c>
      <x:c r="B82" s="42" t="n">
        <x:v>2024</x:v>
      </x:c>
      <x:c r="C82" s="30" t="n">
        <x:v>2024</x:v>
      </x:c>
      <x:c r="D82" s="30" t="n">
        <x:v>2024</x:v>
      </x:c>
      <x:c r="E82" s="30" t="str">
        <x:v>annual</x:v>
      </x:c>
      <x:c r="F82" s="30" t="str">
        <x:v>tianjin_tourism_income</x:v>
      </x:c>
      <x:c r="G82" s="30" t="n">
        <x:v>2930.98</x:v>
      </x:c>
      <x:c r="H82" s="30" t="str">
        <x:v>100m_cny</x:v>
      </x:c>
      <x:c r="I82" s="30" t="str">
        <x:v>observed</x:v>
      </x:c>
      <x:c r="J82" s="30" t="str">
        <x:v>gov_tj_bulletin_2024_tourism</x:v>
      </x:c>
      <x:c r="K82" s="30" t="n">
        <x:v>1</x:v>
      </x:c>
      <x:c r="L82" s="33"/>
      <x:c r="M82" s="33" t="str">
        <x:v>网络复核的天津市统计公报基准值</x:v>
      </x:c>
    </x:row>
    <x:row r="83" ht="42" customHeight="1">
      <x:c r="A83" s="30" t="str">
        <x:v>tianjin_benchmark</x:v>
      </x:c>
      <x:c r="B83" s="42" t="n">
        <x:v>2024</x:v>
      </x:c>
      <x:c r="C83" s="30" t="n">
        <x:v>2024</x:v>
      </x:c>
      <x:c r="D83" s="30" t="n">
        <x:v>2024</x:v>
      </x:c>
      <x:c r="E83" s="30" t="str">
        <x:v>annual</x:v>
      </x:c>
      <x:c r="F83" s="30" t="str">
        <x:v>tianjin_tourist_visits</x:v>
      </x:c>
      <x:c r="G83" s="30" t="n">
        <x:v>26100</x:v>
      </x:c>
      <x:c r="H83" s="30" t="str">
        <x:v>10k_persons</x:v>
      </x:c>
      <x:c r="I83" s="30" t="str">
        <x:v>observed</x:v>
      </x:c>
      <x:c r="J83" s="30" t="str">
        <x:v>gov_tj_bulletin_2024_tourism</x:v>
      </x:c>
      <x:c r="K83" s="30" t="n">
        <x:v>1</x:v>
      </x:c>
      <x:c r="L83" s="33"/>
      <x:c r="M83" s="33" t="str">
        <x:v>网络复核的天津市统计公报基准值</x:v>
      </x:c>
    </x:row>
    <x:row r="84" ht="42" customHeight="1">
      <x:c r="A84" s="30" t="str">
        <x:v>tourism</x:v>
      </x:c>
      <x:c r="B84" s="42" t="n">
        <x:v>2010</x:v>
      </x:c>
      <x:c r="C84" s="30" t="n">
        <x:v>2010</x:v>
      </x:c>
      <x:c r="D84" s="30" t="n">
        <x:v>2010</x:v>
      </x:c>
      <x:c r="E84" s="30" t="str">
        <x:v>annual</x:v>
      </x:c>
      <x:c r="F84" s="30" t="str">
        <x:v>tourism_comprehensive_income</x:v>
      </x:c>
      <x:c r="G84" s="30" t="n">
        <x:v>35.521236</x:v>
      </x:c>
      <x:c r="H84" s="30" t="str">
        <x:v>100m_cny</x:v>
      </x:c>
      <x:c r="I84" s="30" t="str">
        <x:v>inferred_from_yoy</x:v>
      </x:c>
      <x:c r="J84" s="30" t="str">
        <x:v>gov_jz_bulletin_2011</x:v>
      </x:c>
      <x:c r="K84" s="30" t="n">
        <x:v>2</x:v>
      </x:c>
      <x:c r="L84" s="33" t="str">
        <x:v>https://www.tjjz.gov.cn/zwgk/zfxxgkqjjg/tjj1/fdzdgknr34/tjxx34/202012/t20201227_5212509.html</x:v>
      </x:c>
      <x:c r="M84" s="33" t="str">
        <x:v>由2011年46亿元及同比29.5%反推</x:v>
      </x:c>
    </x:row>
    <x:row r="85" ht="42" customHeight="1">
      <x:c r="A85" s="30" t="str">
        <x:v>tourism</x:v>
      </x:c>
      <x:c r="B85" s="42" t="n">
        <x:v>2010</x:v>
      </x:c>
      <x:c r="C85" s="30" t="n">
        <x:v>2010</x:v>
      </x:c>
      <x:c r="D85" s="30" t="n">
        <x:v>2010</x:v>
      </x:c>
      <x:c r="E85" s="30" t="str">
        <x:v>annual</x:v>
      </x:c>
      <x:c r="F85" s="30" t="str">
        <x:v>tourism_direct_income</x:v>
      </x:c>
      <x:c r="G85" s="30" t="n">
        <x:v>7.104247</x:v>
      </x:c>
      <x:c r="H85" s="30" t="str">
        <x:v>100m_cny</x:v>
      </x:c>
      <x:c r="I85" s="30" t="str">
        <x:v>inferred_from_yoy</x:v>
      </x:c>
      <x:c r="J85" s="30" t="str">
        <x:v>gov_jz_bulletin_2011</x:v>
      </x:c>
      <x:c r="K85" s="30" t="n">
        <x:v>2</x:v>
      </x:c>
      <x:c r="L85" s="33" t="str">
        <x:v>https://www.tjjz.gov.cn/zwgk/zfxxgkqjjg/tjj1/fdzdgknr34/tjxx34/202012/t20201227_5212509.html</x:v>
      </x:c>
      <x:c r="M85" s="33" t="str">
        <x:v>由2011年9.2亿元及同比29.5%反推</x:v>
      </x:c>
    </x:row>
    <x:row r="86" ht="42" customHeight="1">
      <x:c r="A86" s="30" t="str">
        <x:v>tourism</x:v>
      </x:c>
      <x:c r="B86" s="42" t="n">
        <x:v>2010</x:v>
      </x:c>
      <x:c r="C86" s="30" t="n">
        <x:v>2010</x:v>
      </x:c>
      <x:c r="D86" s="30" t="n">
        <x:v>2010</x:v>
      </x:c>
      <x:c r="E86" s="30" t="str">
        <x:v>annual</x:v>
      </x:c>
      <x:c r="F86" s="30" t="str">
        <x:v>tourist_visits</x:v>
      </x:c>
      <x:c r="G86" s="30" t="n">
        <x:v>848</x:v>
      </x:c>
      <x:c r="H86" s="30" t="str">
        <x:v>10k_persons</x:v>
      </x:c>
      <x:c r="I86" s="30" t="str">
        <x:v>observed_rounded</x:v>
      </x:c>
      <x:c r="J86" s="30" t="str">
        <x:v>gov_jz_report_2011</x:v>
      </x:c>
      <x:c r="K86" s="30" t="n">
        <x:v>1</x:v>
      </x:c>
      <x:c r="L86" s="33" t="str">
        <x:v>https://www.tjjz.gov.cn/zwgk/ZFGZBG_20201207/202012/t20201227_5202964.html</x:v>
      </x:c>
      <x:c r="M86" s="33" t="str">
        <x:v>报告回顾段直接给出但取整到万人次</x:v>
      </x:c>
    </x:row>
    <x:row r="87" ht="42" customHeight="1">
      <x:c r="A87" s="30" t="str">
        <x:v>tourism</x:v>
      </x:c>
      <x:c r="B87" s="42" t="n">
        <x:v>2011</x:v>
      </x:c>
      <x:c r="C87" s="30" t="n">
        <x:v>2011</x:v>
      </x:c>
      <x:c r="D87" s="30" t="n">
        <x:v>2011</x:v>
      </x:c>
      <x:c r="E87" s="30" t="str">
        <x:v>annual</x:v>
      </x:c>
      <x:c r="F87" s="30" t="str">
        <x:v>tourism_comprehensive_income</x:v>
      </x:c>
      <x:c r="G87" s="30" t="n">
        <x:v>46</x:v>
      </x:c>
      <x:c r="H87" s="30" t="str">
        <x:v>100m_cny</x:v>
      </x:c>
      <x:c r="I87" s="30" t="str">
        <x:v>observed</x:v>
      </x:c>
      <x:c r="J87" s="30" t="str">
        <x:v>gov_jz_bulletin_2011</x:v>
      </x:c>
      <x:c r="K87" s="30" t="n">
        <x:v>1</x:v>
      </x:c>
      <x:c r="L87" s="33" t="str">
        <x:v>https://www.tjjz.gov.cn/zwgk/zfxxgkqjjg/tjj1/fdzdgknr34/tjxx34/202012/t20201227_5212509.html</x:v>
      </x:c>
      <x:c r="M87" s="33"/>
    </x:row>
    <x:row r="88" ht="42" customHeight="1">
      <x:c r="A88" s="30" t="str">
        <x:v>tourism</x:v>
      </x:c>
      <x:c r="B88" s="42" t="n">
        <x:v>2011</x:v>
      </x:c>
      <x:c r="C88" s="30" t="n">
        <x:v>2011</x:v>
      </x:c>
      <x:c r="D88" s="30" t="n">
        <x:v>2011</x:v>
      </x:c>
      <x:c r="E88" s="30" t="str">
        <x:v>annual</x:v>
      </x:c>
      <x:c r="F88" s="30" t="str">
        <x:v>tourism_direct_income</x:v>
      </x:c>
      <x:c r="G88" s="30" t="n">
        <x:v>9.2</x:v>
      </x:c>
      <x:c r="H88" s="30" t="str">
        <x:v>100m_cny</x:v>
      </x:c>
      <x:c r="I88" s="30" t="str">
        <x:v>observed</x:v>
      </x:c>
      <x:c r="J88" s="30" t="str">
        <x:v>gov_jz_bulletin_2011</x:v>
      </x:c>
      <x:c r="K88" s="30" t="n">
        <x:v>1</x:v>
      </x:c>
      <x:c r="L88" s="33" t="str">
        <x:v>https://www.tjjz.gov.cn/zwgk/zfxxgkqjjg/tjj1/fdzdgknr34/tjxx34/202012/t20201227_5212509.html</x:v>
      </x:c>
      <x:c r="M88" s="33"/>
    </x:row>
    <x:row r="89" ht="42" customHeight="1">
      <x:c r="A89" s="30" t="str">
        <x:v>tourism</x:v>
      </x:c>
      <x:c r="B89" s="42" t="n">
        <x:v>2011</x:v>
      </x:c>
      <x:c r="C89" s="30" t="n">
        <x:v>2011</x:v>
      </x:c>
      <x:c r="D89" s="30" t="n">
        <x:v>2011</x:v>
      </x:c>
      <x:c r="E89" s="30" t="str">
        <x:v>annual</x:v>
      </x:c>
      <x:c r="F89" s="30" t="str">
        <x:v>tourist_visits</x:v>
      </x:c>
      <x:c r="G89" s="30" t="n">
        <x:v>1098.6</x:v>
      </x:c>
      <x:c r="H89" s="30" t="str">
        <x:v>10k_persons</x:v>
      </x:c>
      <x:c r="I89" s="30" t="str">
        <x:v>observed</x:v>
      </x:c>
      <x:c r="J89" s="30" t="str">
        <x:v>gov_jz_bulletin_2011</x:v>
      </x:c>
      <x:c r="K89" s="30" t="n">
        <x:v>1</x:v>
      </x:c>
      <x:c r="L89" s="33" t="str">
        <x:v>https://www.tjjz.gov.cn/zwgk/zfxxgkqjjg/tjj1/fdzdgknr34/tjxx34/202012/t20201227_5212509.html</x:v>
      </x:c>
      <x:c r="M89" s="33"/>
    </x:row>
    <x:row r="90" ht="42" customHeight="1">
      <x:c r="A90" s="30" t="str">
        <x:v>tourism</x:v>
      </x:c>
      <x:c r="B90" s="42" t="n">
        <x:v>2012</x:v>
      </x:c>
      <x:c r="C90" s="30" t="n">
        <x:v>2012</x:v>
      </x:c>
      <x:c r="D90" s="30" t="n">
        <x:v>2012</x:v>
      </x:c>
      <x:c r="E90" s="30" t="str">
        <x:v>annual</x:v>
      </x:c>
      <x:c r="F90" s="30" t="str">
        <x:v>tourism_comprehensive_income</x:v>
      </x:c>
      <x:c r="G90" s="30" t="n">
        <x:v>52</x:v>
      </x:c>
      <x:c r="H90" s="30" t="str">
        <x:v>100m_cny</x:v>
      </x:c>
      <x:c r="I90" s="30" t="str">
        <x:v>observed_rounded</x:v>
      </x:c>
      <x:c r="J90" s="30" t="str">
        <x:v>gov_jz_report_2013</x:v>
      </x:c>
      <x:c r="K90" s="30" t="n">
        <x:v>1</x:v>
      </x:c>
      <x:c r="L90" s="33" t="str">
        <x:v>https://www.tjjz.gov.cn/zwgk/ZFGZBG_20201207/202012/t20201227_5202990.html</x:v>
      </x:c>
      <x:c r="M90" s="33" t="str">
        <x:v>2013年政府工作报告的2012年回顾段</x:v>
      </x:c>
    </x:row>
    <x:row r="91" ht="42" customHeight="1">
      <x:c r="A91" s="30" t="str">
        <x:v>tourism</x:v>
      </x:c>
      <x:c r="B91" s="42" t="n">
        <x:v>2012</x:v>
      </x:c>
      <x:c r="C91" s="30" t="n">
        <x:v>2012</x:v>
      </x:c>
      <x:c r="D91" s="30" t="n">
        <x:v>2012</x:v>
      </x:c>
      <x:c r="E91" s="30" t="str">
        <x:v>annual</x:v>
      </x:c>
      <x:c r="F91" s="30" t="str">
        <x:v>tourist_visits</x:v>
      </x:c>
      <x:c r="G91" s="30" t="n">
        <x:v>1152</x:v>
      </x:c>
      <x:c r="H91" s="30" t="str">
        <x:v>10k_persons</x:v>
      </x:c>
      <x:c r="I91" s="30" t="str">
        <x:v>observed_rounded</x:v>
      </x:c>
      <x:c r="J91" s="30" t="str">
        <x:v>gov_jz_report_2013</x:v>
      </x:c>
      <x:c r="K91" s="30" t="n">
        <x:v>1</x:v>
      </x:c>
      <x:c r="L91" s="33" t="str">
        <x:v>https://www.tjjz.gov.cn/zwgk/ZFGZBG_20201207/202012/t20201227_5202990.html</x:v>
      </x:c>
      <x:c r="M91" s="33" t="str">
        <x:v>2013年政府工作报告的2012年回顾段</x:v>
      </x:c>
    </x:row>
    <x:row r="92" ht="42" customHeight="1">
      <x:c r="A92" s="30" t="str">
        <x:v>tourism</x:v>
      </x:c>
      <x:c r="B92" s="42" t="n">
        <x:v>2013</x:v>
      </x:c>
      <x:c r="C92" s="30" t="n">
        <x:v>2013</x:v>
      </x:c>
      <x:c r="D92" s="30" t="n">
        <x:v>2013</x:v>
      </x:c>
      <x:c r="E92" s="30" t="str">
        <x:v>annual</x:v>
      </x:c>
      <x:c r="F92" s="30" t="str">
        <x:v>tourism_comprehensive_income</x:v>
      </x:c>
      <x:c r="G92" s="30" t="n">
        <x:v>63.2</x:v>
      </x:c>
      <x:c r="H92" s="30" t="str">
        <x:v>100m_cny</x:v>
      </x:c>
      <x:c r="I92" s="30" t="str">
        <x:v>observed_cached</x:v>
      </x:c>
      <x:c r="J92" s="30" t="str">
        <x:v>gov_jz_tourism_summary_2013</x:v>
      </x:c>
      <x:c r="K92" s="30" t="n">
        <x:v>2</x:v>
      </x:c>
      <x:c r="L92" s="33" t="str">
        <x:v>https://www.tjjz.gov.cn/zwgk/zcwj/qjwj/qjjg/whhlyj2/202012/t20201227_5212681.html</x:v>
      </x:c>
      <x:c r="M92" s="33" t="str">
        <x:v>官方详情页当前已撤稿；由官方目录和同URL搜索索引复核</x:v>
      </x:c>
    </x:row>
    <x:row r="93" ht="42" customHeight="1">
      <x:c r="A93" s="30" t="str">
        <x:v>tourism</x:v>
      </x:c>
      <x:c r="B93" s="42" t="n">
        <x:v>2013</x:v>
      </x:c>
      <x:c r="C93" s="30" t="n">
        <x:v>2013</x:v>
      </x:c>
      <x:c r="D93" s="30" t="n">
        <x:v>2013</x:v>
      </x:c>
      <x:c r="E93" s="30" t="str">
        <x:v>annual</x:v>
      </x:c>
      <x:c r="F93" s="30" t="str">
        <x:v>tourism_direct_income</x:v>
      </x:c>
      <x:c r="G93" s="30" t="n">
        <x:v>12.63</x:v>
      </x:c>
      <x:c r="H93" s="30" t="str">
        <x:v>100m_cny</x:v>
      </x:c>
      <x:c r="I93" s="30" t="str">
        <x:v>observed_cached</x:v>
      </x:c>
      <x:c r="J93" s="30" t="str">
        <x:v>gov_jz_tourism_summary_2013</x:v>
      </x:c>
      <x:c r="K93" s="30" t="n">
        <x:v>2</x:v>
      </x:c>
      <x:c r="L93" s="33" t="str">
        <x:v>https://www.tjjz.gov.cn/zwgk/zcwj/qjwj/qjjg/whhlyj2/202012/t20201227_5212681.html</x:v>
      </x:c>
      <x:c r="M93" s="33" t="str">
        <x:v>官方详情页当前已撤稿；由官方目录和同URL搜索索引复核</x:v>
      </x:c>
    </x:row>
    <x:row r="94" ht="42" customHeight="1">
      <x:c r="A94" s="30" t="str">
        <x:v>tourism</x:v>
      </x:c>
      <x:c r="B94" s="42" t="n">
        <x:v>2013</x:v>
      </x:c>
      <x:c r="C94" s="30" t="n">
        <x:v>2013</x:v>
      </x:c>
      <x:c r="D94" s="30" t="n">
        <x:v>2013</x:v>
      </x:c>
      <x:c r="E94" s="30" t="str">
        <x:v>annual</x:v>
      </x:c>
      <x:c r="F94" s="30" t="str">
        <x:v>tourist_visits</x:v>
      </x:c>
      <x:c r="G94" s="30" t="n">
        <x:v>1295</x:v>
      </x:c>
      <x:c r="H94" s="30" t="str">
        <x:v>10k_persons</x:v>
      </x:c>
      <x:c r="I94" s="30" t="str">
        <x:v>observed_cached</x:v>
      </x:c>
      <x:c r="J94" s="30" t="str">
        <x:v>gov_jz_tourism_summary_2013</x:v>
      </x:c>
      <x:c r="K94" s="30" t="n">
        <x:v>2</x:v>
      </x:c>
      <x:c r="L94" s="33" t="str">
        <x:v>https://www.tjjz.gov.cn/zwgk/zcwj/qjwj/qjjg/whhlyj2/202012/t20201227_5212681.html</x:v>
      </x:c>
      <x:c r="M94" s="33" t="str">
        <x:v>官方详情页当前已撤稿；由官方目录和同URL搜索索引复核</x:v>
      </x:c>
    </x:row>
    <x:row r="95" ht="42" customHeight="1">
      <x:c r="A95" s="30" t="str">
        <x:v>tourism</x:v>
      </x:c>
      <x:c r="B95" s="42" t="n">
        <x:v>2014</x:v>
      </x:c>
      <x:c r="C95" s="30" t="n">
        <x:v>2014</x:v>
      </x:c>
      <x:c r="D95" s="30" t="n">
        <x:v>2014</x:v>
      </x:c>
      <x:c r="E95" s="30" t="str">
        <x:v>annual</x:v>
      </x:c>
      <x:c r="F95" s="30" t="str">
        <x:v>tourism_comprehensive_income</x:v>
      </x:c>
      <x:c r="G95" s="30" t="n">
        <x:v>79</x:v>
      </x:c>
      <x:c r="H95" s="30" t="str">
        <x:v>100m_cny</x:v>
      </x:c>
      <x:c r="I95" s="30" t="str">
        <x:v>observed</x:v>
      </x:c>
      <x:c r="J95" s="30" t="str">
        <x:v>gov_jz_bulletin_2014</x:v>
      </x:c>
      <x:c r="K95" s="30" t="n">
        <x:v>1</x:v>
      </x:c>
      <x:c r="L95" s="33" t="str">
        <x:v>https://www.tjjz.gov.cn/zwgk/zfxxgkqjjg/tjj1/fdzdgknr34/tjxx34/202012/t20201227_5212510.html</x:v>
      </x:c>
      <x:c r="M95" s="33"/>
    </x:row>
    <x:row r="96" ht="42" customHeight="1">
      <x:c r="A96" s="30" t="str">
        <x:v>tourism</x:v>
      </x:c>
      <x:c r="B96" s="42" t="n">
        <x:v>2014</x:v>
      </x:c>
      <x:c r="C96" s="30" t="n">
        <x:v>2014</x:v>
      </x:c>
      <x:c r="D96" s="30" t="n">
        <x:v>2014</x:v>
      </x:c>
      <x:c r="E96" s="30" t="str">
        <x:v>annual</x:v>
      </x:c>
      <x:c r="F96" s="30" t="str">
        <x:v>tourism_direct_income</x:v>
      </x:c>
      <x:c r="G96" s="30" t="n">
        <x:v>15.7</x:v>
      </x:c>
      <x:c r="H96" s="30" t="str">
        <x:v>100m_cny</x:v>
      </x:c>
      <x:c r="I96" s="30" t="str">
        <x:v>observed_initial</x:v>
      </x:c>
      <x:c r="J96" s="30" t="str">
        <x:v>gov_jz_bulletin_2014</x:v>
      </x:c>
      <x:c r="K96" s="30" t="n">
        <x:v>1</x:v>
      </x:c>
      <x:c r="L96" s="33" t="str">
        <x:v>https://www.tjjz.gov.cn/zwgk/zfxxgkqjjg/tjj1/fdzdgknr34/tjxx34/202012/t20201227_5212510.html</x:v>
      </x:c>
      <x:c r="M96" s="33" t="str">
        <x:v>同年后续统计页有修订值</x:v>
      </x:c>
    </x:row>
    <x:row r="97" ht="42" customHeight="1">
      <x:c r="A97" s="30" t="str">
        <x:v>tourism</x:v>
      </x:c>
      <x:c r="B97" s="42" t="n">
        <x:v>2014</x:v>
      </x:c>
      <x:c r="C97" s="30" t="n">
        <x:v>2014</x:v>
      </x:c>
      <x:c r="D97" s="30" t="n">
        <x:v>2014</x:v>
      </x:c>
      <x:c r="E97" s="30" t="str">
        <x:v>annual</x:v>
      </x:c>
      <x:c r="F97" s="30" t="str">
        <x:v>tourism_direct_income</x:v>
      </x:c>
      <x:c r="G97" s="30" t="n">
        <x:v>15.8162</x:v>
      </x:c>
      <x:c r="H97" s="30" t="str">
        <x:v>100m_cny</x:v>
      </x:c>
      <x:c r="I97" s="30" t="str">
        <x:v>observed_initial</x:v>
      </x:c>
      <x:c r="J97" s="30" t="str">
        <x:v>gov_jz_tourism_stats_2014</x:v>
      </x:c>
      <x:c r="K97" s="30" t="n">
        <x:v>1</x:v>
      </x:c>
      <x:c r="L97" s="33" t="str">
        <x:v>https://www.tjjz.gov.cn/zwgk/zfxxgkqjjg/tjj1/fdzdgknr34/tjxx34/202012/t20201227_5212306.html</x:v>
      </x:c>
      <x:c r="M97" s="33" t="str">
        <x:v>原表单位万元后换算为亿元</x:v>
      </x:c>
    </x:row>
    <x:row r="98" ht="42" customHeight="1">
      <x:c r="A98" s="30" t="str">
        <x:v>tourism</x:v>
      </x:c>
      <x:c r="B98" s="42" t="n">
        <x:v>2014</x:v>
      </x:c>
      <x:c r="C98" s="30" t="n">
        <x:v>2014</x:v>
      </x:c>
      <x:c r="D98" s="30" t="n">
        <x:v>2014</x:v>
      </x:c>
      <x:c r="E98" s="30" t="str">
        <x:v>annual</x:v>
      </x:c>
      <x:c r="F98" s="30" t="str">
        <x:v>tourism_direct_income</x:v>
      </x:c>
      <x:c r="G98" s="30" t="n">
        <x:v>15.8007</x:v>
      </x:c>
      <x:c r="H98" s="30" t="str">
        <x:v>100m_cny</x:v>
      </x:c>
      <x:c r="I98" s="30" t="str">
        <x:v>observed_revised</x:v>
      </x:c>
      <x:c r="J98" s="30" t="str">
        <x:v>gov_jz_tourism_stats_2015</x:v>
      </x:c>
      <x:c r="K98" s="30" t="n">
        <x:v>1</x:v>
      </x:c>
      <x:c r="L98" s="33" t="str">
        <x:v>https://www.tjjz.gov.cn/zwgk/zfxxgkqjjg/tjj1/fdzdgknr34/tjxx34/202012/t20201227_5212477.html</x:v>
      </x:c>
      <x:c r="M98" s="33" t="str">
        <x:v>2015年表回列值；原表单位万元后换算为亿元</x:v>
      </x:c>
    </x:row>
    <x:row r="99" ht="42" customHeight="1">
      <x:c r="A99" s="30" t="str">
        <x:v>tourism</x:v>
      </x:c>
      <x:c r="B99" s="42" t="n">
        <x:v>2014</x:v>
      </x:c>
      <x:c r="C99" s="30" t="n">
        <x:v>2014</x:v>
      </x:c>
      <x:c r="D99" s="30" t="n">
        <x:v>2014</x:v>
      </x:c>
      <x:c r="E99" s="30" t="str">
        <x:v>annual</x:v>
      </x:c>
      <x:c r="F99" s="30" t="str">
        <x:v>tourist_visits</x:v>
      </x:c>
      <x:c r="G99" s="30" t="n">
        <x:v>1541.59</x:v>
      </x:c>
      <x:c r="H99" s="30" t="str">
        <x:v>10k_persons</x:v>
      </x:c>
      <x:c r="I99" s="30" t="str">
        <x:v>observed_initial</x:v>
      </x:c>
      <x:c r="J99" s="30" t="str">
        <x:v>gov_jz_bulletin_2014</x:v>
      </x:c>
      <x:c r="K99" s="30" t="n">
        <x:v>1</x:v>
      </x:c>
      <x:c r="L99" s="33" t="str">
        <x:v>https://www.tjjz.gov.cn/zwgk/zfxxgkqjjg/tjj1/fdzdgknr34/tjxx34/202012/t20201227_5212510.html</x:v>
      </x:c>
      <x:c r="M99" s="33" t="str">
        <x:v>同年后续统计页有修订值</x:v>
      </x:c>
    </x:row>
    <x:row r="100" ht="42" customHeight="1">
      <x:c r="A100" s="30" t="str">
        <x:v>tourism</x:v>
      </x:c>
      <x:c r="B100" s="42" t="n">
        <x:v>2014</x:v>
      </x:c>
      <x:c r="C100" s="30" t="n">
        <x:v>2014</x:v>
      </x:c>
      <x:c r="D100" s="30" t="n">
        <x:v>2014</x:v>
      </x:c>
      <x:c r="E100" s="30" t="str">
        <x:v>annual</x:v>
      </x:c>
      <x:c r="F100" s="30" t="str">
        <x:v>tourist_visits</x:v>
      </x:c>
      <x:c r="G100" s="30" t="n">
        <x:v>1554</x:v>
      </x:c>
      <x:c r="H100" s="30" t="str">
        <x:v>10k_persons</x:v>
      </x:c>
      <x:c r="I100" s="30" t="str">
        <x:v>observed_initial</x:v>
      </x:c>
      <x:c r="J100" s="30" t="str">
        <x:v>gov_jz_tourism_stats_2014</x:v>
      </x:c>
      <x:c r="K100" s="30" t="n">
        <x:v>1</x:v>
      </x:c>
      <x:c r="L100" s="33" t="str">
        <x:v>https://www.tjjz.gov.cn/zwgk/zfxxgkqjjg/tjj1/fdzdgknr34/tjxx34/202012/t20201227_5212306.html</x:v>
      </x:c>
      <x:c r="M100" s="33" t="str">
        <x:v>商业外贸固投旅游表当期发布值</x:v>
      </x:c>
    </x:row>
    <x:row r="101" ht="42" customHeight="1">
      <x:c r="A101" s="30" t="str">
        <x:v>tourism</x:v>
      </x:c>
      <x:c r="B101" s="42" t="n">
        <x:v>2014</x:v>
      </x:c>
      <x:c r="C101" s="30" t="n">
        <x:v>2014</x:v>
      </x:c>
      <x:c r="D101" s="30" t="n">
        <x:v>2014</x:v>
      </x:c>
      <x:c r="E101" s="30" t="str">
        <x:v>annual</x:v>
      </x:c>
      <x:c r="F101" s="30" t="str">
        <x:v>tourist_visits</x:v>
      </x:c>
      <x:c r="G101" s="30" t="n">
        <x:v>1553.4</x:v>
      </x:c>
      <x:c r="H101" s="30" t="str">
        <x:v>10k_persons</x:v>
      </x:c>
      <x:c r="I101" s="30" t="str">
        <x:v>observed_revised</x:v>
      </x:c>
      <x:c r="J101" s="30" t="str">
        <x:v>gov_jz_tourism_stats_2015</x:v>
      </x:c>
      <x:c r="K101" s="30" t="n">
        <x:v>1</x:v>
      </x:c>
      <x:c r="L101" s="33" t="str">
        <x:v>https://www.tjjz.gov.cn/zwgk/zfxxgkqjjg/tjj1/fdzdgknr34/tjxx34/202012/t20201227_5212477.html</x:v>
      </x:c>
      <x:c r="M101" s="33" t="str">
        <x:v>2015年表回列的2014年修订值</x:v>
      </x:c>
    </x:row>
    <x:row r="102" ht="42" customHeight="1">
      <x:c r="A102" s="30" t="str">
        <x:v>tourism</x:v>
      </x:c>
      <x:c r="B102" s="42" t="n">
        <x:v>2015</x:v>
      </x:c>
      <x:c r="C102" s="30" t="n">
        <x:v>2015</x:v>
      </x:c>
      <x:c r="D102" s="30" t="n">
        <x:v>2015</x:v>
      </x:c>
      <x:c r="E102" s="30" t="str">
        <x:v>annual</x:v>
      </x:c>
      <x:c r="F102" s="30" t="str">
        <x:v>tourism_comprehensive_income</x:v>
      </x:c>
      <x:c r="G102" s="30" t="n">
        <x:v>94</x:v>
      </x:c>
      <x:c r="H102" s="30" t="str">
        <x:v>100m_cny</x:v>
      </x:c>
      <x:c r="I102" s="30" t="str">
        <x:v>observed_supporting_attachment</x:v>
      </x:c>
      <x:c r="J102" s="30" t="str">
        <x:v>gov_jz_tourism_attachment_2015</x:v>
      </x:c>
      <x:c r="K102" s="30" t="n">
        <x:v>3</x:v>
      </x:c>
      <x:c r="L102" s="33" t="str">
        <x:v>https://www.tjjz.gov.cn/xwzx/GSGG20201207/202012/W020201226537834083333.pdf</x:v>
      </x:c>
      <x:c r="M102" s="33" t="str">
        <x:v>政府站附件当前不可直取；搜索索引可复核且证据等级较低</x:v>
      </x:c>
    </x:row>
    <x:row r="103" ht="42" customHeight="1">
      <x:c r="A103" s="30" t="str">
        <x:v>tourism</x:v>
      </x:c>
      <x:c r="B103" s="42" t="n">
        <x:v>2015</x:v>
      </x:c>
      <x:c r="C103" s="30" t="n">
        <x:v>2015</x:v>
      </x:c>
      <x:c r="D103" s="30" t="n">
        <x:v>2015</x:v>
      </x:c>
      <x:c r="E103" s="30" t="str">
        <x:v>annual</x:v>
      </x:c>
      <x:c r="F103" s="30" t="str">
        <x:v>tourism_direct_income</x:v>
      </x:c>
      <x:c r="G103" s="30" t="n">
        <x:v>18.7661</x:v>
      </x:c>
      <x:c r="H103" s="30" t="str">
        <x:v>100m_cny</x:v>
      </x:c>
      <x:c r="I103" s="30" t="str">
        <x:v>observed_initial</x:v>
      </x:c>
      <x:c r="J103" s="30" t="str">
        <x:v>gov_jz_tourism_stats_2015</x:v>
      </x:c>
      <x:c r="K103" s="30" t="n">
        <x:v>1</x:v>
      </x:c>
      <x:c r="L103" s="33" t="str">
        <x:v>https://www.tjjz.gov.cn/zwgk/zfxxgkqjjg/tjj1/fdzdgknr34/tjxx34/202012/t20201227_5212477.html</x:v>
      </x:c>
      <x:c r="M103" s="33" t="str">
        <x:v>原表单位万元后换算为亿元</x:v>
      </x:c>
    </x:row>
    <x:row r="104" ht="42" customHeight="1">
      <x:c r="A104" s="30" t="str">
        <x:v>tourism</x:v>
      </x:c>
      <x:c r="B104" s="42" t="n">
        <x:v>2015</x:v>
      </x:c>
      <x:c r="C104" s="30" t="n">
        <x:v>2015</x:v>
      </x:c>
      <x:c r="D104" s="30" t="n">
        <x:v>2015</x:v>
      </x:c>
      <x:c r="E104" s="30" t="str">
        <x:v>annual</x:v>
      </x:c>
      <x:c r="F104" s="30" t="str">
        <x:v>tourism_direct_income</x:v>
      </x:c>
      <x:c r="G104" s="30" t="n">
        <x:v>18.7922</x:v>
      </x:c>
      <x:c r="H104" s="30" t="str">
        <x:v>100m_cny</x:v>
      </x:c>
      <x:c r="I104" s="30" t="str">
        <x:v>observed_revised</x:v>
      </x:c>
      <x:c r="J104" s="30" t="str">
        <x:v>gov_jz_tourism_stats_2016</x:v>
      </x:c>
      <x:c r="K104" s="30" t="n">
        <x:v>1</x:v>
      </x:c>
      <x:c r="L104" s="33" t="str">
        <x:v>https://www.tjjz.gov.cn/zwgk/zfxxgkqjjg/tjj1/fdzdgknr34/tjxx34/202012/t20201227_5212519.html</x:v>
      </x:c>
      <x:c r="M104" s="33" t="str">
        <x:v>2016年表回列值；原表单位万元后换算为亿元</x:v>
      </x:c>
    </x:row>
    <x:row r="105" ht="42" customHeight="1">
      <x:c r="A105" s="30" t="str">
        <x:v>tourism</x:v>
      </x:c>
      <x:c r="B105" s="42" t="n">
        <x:v>2015</x:v>
      </x:c>
      <x:c r="C105" s="30" t="n">
        <x:v>2015</x:v>
      </x:c>
      <x:c r="D105" s="30" t="n">
        <x:v>2015</x:v>
      </x:c>
      <x:c r="E105" s="30" t="str">
        <x:v>annual</x:v>
      </x:c>
      <x:c r="F105" s="30" t="str">
        <x:v>tourist_visits</x:v>
      </x:c>
      <x:c r="G105" s="30" t="n">
        <x:v>1814.4</x:v>
      </x:c>
      <x:c r="H105" s="30" t="str">
        <x:v>10k_persons</x:v>
      </x:c>
      <x:c r="I105" s="30" t="str">
        <x:v>observed_initial</x:v>
      </x:c>
      <x:c r="J105" s="30" t="str">
        <x:v>gov_jz_tourism_stats_2015</x:v>
      </x:c>
      <x:c r="K105" s="30" t="n">
        <x:v>1</x:v>
      </x:c>
      <x:c r="L105" s="33" t="str">
        <x:v>https://www.tjjz.gov.cn/zwgk/zfxxgkqjjg/tjj1/fdzdgknr34/tjxx34/202012/t20201227_5212477.html</x:v>
      </x:c>
      <x:c r="M105" s="33"/>
    </x:row>
    <x:row r="106" ht="42" customHeight="1">
      <x:c r="A106" s="30" t="str">
        <x:v>tourism</x:v>
      </x:c>
      <x:c r="B106" s="42" t="n">
        <x:v>2015</x:v>
      </x:c>
      <x:c r="C106" s="30" t="n">
        <x:v>2015</x:v>
      </x:c>
      <x:c r="D106" s="30" t="n">
        <x:v>2015</x:v>
      </x:c>
      <x:c r="E106" s="30" t="str">
        <x:v>annual</x:v>
      </x:c>
      <x:c r="F106" s="30" t="str">
        <x:v>tourist_visits</x:v>
      </x:c>
      <x:c r="G106" s="30" t="n">
        <x:v>1818.72</x:v>
      </x:c>
      <x:c r="H106" s="30" t="str">
        <x:v>10k_persons</x:v>
      </x:c>
      <x:c r="I106" s="30" t="str">
        <x:v>observed_revised</x:v>
      </x:c>
      <x:c r="J106" s="30" t="str">
        <x:v>gov_jz_tourism_stats_2016</x:v>
      </x:c>
      <x:c r="K106" s="30" t="n">
        <x:v>1</x:v>
      </x:c>
      <x:c r="L106" s="33" t="str">
        <x:v>https://www.tjjz.gov.cn/zwgk/zfxxgkqjjg/tjj1/fdzdgknr34/tjxx34/202012/t20201227_5212519.html</x:v>
      </x:c>
      <x:c r="M106" s="33" t="str">
        <x:v>2016年表回列的2015年修订值</x:v>
      </x:c>
    </x:row>
    <x:row r="107" ht="42" customHeight="1">
      <x:c r="A107" s="30" t="str">
        <x:v>tourism</x:v>
      </x:c>
      <x:c r="B107" s="42" t="n">
        <x:v>2016</x:v>
      </x:c>
      <x:c r="C107" s="30" t="n">
        <x:v>2016</x:v>
      </x:c>
      <x:c r="D107" s="30" t="n">
        <x:v>2016</x:v>
      </x:c>
      <x:c r="E107" s="30" t="str">
        <x:v>annual</x:v>
      </x:c>
      <x:c r="F107" s="30" t="str">
        <x:v>tourism_direct_income</x:v>
      </x:c>
      <x:c r="G107" s="30" t="n">
        <x:v>21.9191</x:v>
      </x:c>
      <x:c r="H107" s="30" t="str">
        <x:v>100m_cny</x:v>
      </x:c>
      <x:c r="I107" s="30" t="str">
        <x:v>observed_initial</x:v>
      </x:c>
      <x:c r="J107" s="30" t="str">
        <x:v>gov_jz_tourism_stats_2016</x:v>
      </x:c>
      <x:c r="K107" s="30" t="n">
        <x:v>1</x:v>
      </x:c>
      <x:c r="L107" s="33" t="str">
        <x:v>https://www.tjjz.gov.cn/zwgk/zfxxgkqjjg/tjj1/fdzdgknr34/tjxx34/202012/t20201227_5212519.html</x:v>
      </x:c>
      <x:c r="M107" s="33" t="str">
        <x:v>原表单位万元后换算为亿元</x:v>
      </x:c>
    </x:row>
    <x:row r="108" ht="42" customHeight="1">
      <x:c r="A108" s="30" t="str">
        <x:v>tourism</x:v>
      </x:c>
      <x:c r="B108" s="42" t="n">
        <x:v>2016</x:v>
      </x:c>
      <x:c r="C108" s="30" t="n">
        <x:v>2016</x:v>
      </x:c>
      <x:c r="D108" s="30" t="n">
        <x:v>2016</x:v>
      </x:c>
      <x:c r="E108" s="30" t="str">
        <x:v>annual</x:v>
      </x:c>
      <x:c r="F108" s="30" t="str">
        <x:v>tourism_direct_income</x:v>
      </x:c>
      <x:c r="G108" s="30" t="n">
        <x:v>21.9172</x:v>
      </x:c>
      <x:c r="H108" s="30" t="str">
        <x:v>100m_cny</x:v>
      </x:c>
      <x:c r="I108" s="30" t="str">
        <x:v>observed_revised</x:v>
      </x:c>
      <x:c r="J108" s="30" t="str">
        <x:v>gov_jz_tourism_stats_2017</x:v>
      </x:c>
      <x:c r="K108" s="30" t="n">
        <x:v>1</x:v>
      </x:c>
      <x:c r="L108" s="33" t="str">
        <x:v>https://www.tjjz.gov.cn/zwgk/zfxxgkqjjg/tjj1/fdzdgknr34/tjxx34/202012/t20201227_5212503.html</x:v>
      </x:c>
      <x:c r="M108" s="33" t="str">
        <x:v>2017年表回列值；原表单位万元后换算为亿元</x:v>
      </x:c>
    </x:row>
    <x:row r="109" ht="42" customHeight="1">
      <x:c r="A109" s="30" t="str">
        <x:v>tourism</x:v>
      </x:c>
      <x:c r="B109" s="42" t="n">
        <x:v>2016</x:v>
      </x:c>
      <x:c r="C109" s="30" t="n">
        <x:v>2016</x:v>
      </x:c>
      <x:c r="D109" s="30" t="n">
        <x:v>2016</x:v>
      </x:c>
      <x:c r="E109" s="30" t="str">
        <x:v>annual</x:v>
      </x:c>
      <x:c r="F109" s="30" t="str">
        <x:v>tourist_visits</x:v>
      </x:c>
      <x:c r="G109" s="30" t="n">
        <x:v>2086.27</x:v>
      </x:c>
      <x:c r="H109" s="30" t="str">
        <x:v>10k_persons</x:v>
      </x:c>
      <x:c r="I109" s="30" t="str">
        <x:v>observed_initial</x:v>
      </x:c>
      <x:c r="J109" s="30" t="str">
        <x:v>gov_jz_tourism_stats_2016</x:v>
      </x:c>
      <x:c r="K109" s="30" t="n">
        <x:v>1</x:v>
      </x:c>
      <x:c r="L109" s="33" t="str">
        <x:v>https://www.tjjz.gov.cn/zwgk/zfxxgkqjjg/tjj1/fdzdgknr34/tjxx34/202012/t20201227_5212519.html</x:v>
      </x:c>
      <x:c r="M109" s="33"/>
    </x:row>
    <x:row r="110" ht="42" customHeight="1">
      <x:c r="A110" s="30" t="str">
        <x:v>tourism</x:v>
      </x:c>
      <x:c r="B110" s="42" t="n">
        <x:v>2016</x:v>
      </x:c>
      <x:c r="C110" s="30" t="n">
        <x:v>2016</x:v>
      </x:c>
      <x:c r="D110" s="30" t="n">
        <x:v>2016</x:v>
      </x:c>
      <x:c r="E110" s="30" t="str">
        <x:v>annual</x:v>
      </x:c>
      <x:c r="F110" s="30" t="str">
        <x:v>tourist_visits</x:v>
      </x:c>
      <x:c r="G110" s="30" t="n">
        <x:v>2086</x:v>
      </x:c>
      <x:c r="H110" s="30" t="str">
        <x:v>10k_persons</x:v>
      </x:c>
      <x:c r="I110" s="30" t="str">
        <x:v>observed_revised</x:v>
      </x:c>
      <x:c r="J110" s="30" t="str">
        <x:v>gov_jz_tourism_stats_2017</x:v>
      </x:c>
      <x:c r="K110" s="30" t="n">
        <x:v>1</x:v>
      </x:c>
      <x:c r="L110" s="33" t="str">
        <x:v>https://www.tjjz.gov.cn/zwgk/zfxxgkqjjg/tjj1/fdzdgknr34/tjxx34/202012/t20201227_5212503.html</x:v>
      </x:c>
      <x:c r="M110" s="33" t="str">
        <x:v>2017年表回列的2016年修订值</x:v>
      </x:c>
    </x:row>
    <x:row r="111" ht="42" customHeight="1">
      <x:c r="A111" s="30" t="str">
        <x:v>tourism</x:v>
      </x:c>
      <x:c r="B111" s="42" t="n">
        <x:v>2017</x:v>
      </x:c>
      <x:c r="C111" s="30" t="n">
        <x:v>2017</x:v>
      </x:c>
      <x:c r="D111" s="30" t="n">
        <x:v>2017</x:v>
      </x:c>
      <x:c r="E111" s="30" t="str">
        <x:v>annual</x:v>
      </x:c>
      <x:c r="F111" s="30" t="str">
        <x:v>tourism_comprehensive_income</x:v>
      </x:c>
      <x:c r="G111" s="30" t="n">
        <x:v>130</x:v>
      </x:c>
      <x:c r="H111" s="30" t="str">
        <x:v>100m_cny</x:v>
      </x:c>
      <x:c r="I111" s="30" t="str">
        <x:v>observed_rounded</x:v>
      </x:c>
      <x:c r="J111" s="30" t="str">
        <x:v>gov_jz_report_2018</x:v>
      </x:c>
      <x:c r="K111" s="30" t="n">
        <x:v>1</x:v>
      </x:c>
      <x:c r="L111" s="33" t="str">
        <x:v>https://www.tjjz.gov.cn/zwgk/ZFGZBG_20201207/202012/t20201227_5203142.html</x:v>
      </x:c>
      <x:c r="M111" s="33"/>
    </x:row>
    <x:row r="112" ht="42" customHeight="1">
      <x:c r="A112" s="30" t="str">
        <x:v>tourism</x:v>
      </x:c>
      <x:c r="B112" s="42" t="n">
        <x:v>2017</x:v>
      </x:c>
      <x:c r="C112" s="30" t="n">
        <x:v>2017</x:v>
      </x:c>
      <x:c r="D112" s="30" t="n">
        <x:v>2017</x:v>
      </x:c>
      <x:c r="E112" s="30" t="str">
        <x:v>annual</x:v>
      </x:c>
      <x:c r="F112" s="30" t="str">
        <x:v>tourism_direct_income</x:v>
      </x:c>
      <x:c r="G112" s="30" t="n">
        <x:v>26.1347</x:v>
      </x:c>
      <x:c r="H112" s="30" t="str">
        <x:v>100m_cny</x:v>
      </x:c>
      <x:c r="I112" s="30" t="str">
        <x:v>observed</x:v>
      </x:c>
      <x:c r="J112" s="30" t="str">
        <x:v>gov_jz_tourism_stats_2017</x:v>
      </x:c>
      <x:c r="K112" s="30" t="n">
        <x:v>1</x:v>
      </x:c>
      <x:c r="L112" s="33" t="str">
        <x:v>https://www.tjjz.gov.cn/zwgk/zfxxgkqjjg/tjj1/fdzdgknr34/tjxx34/202012/t20201227_5212503.html</x:v>
      </x:c>
      <x:c r="M112" s="33" t="str">
        <x:v>原表单位万元后换算为亿元</x:v>
      </x:c>
    </x:row>
    <x:row r="113" ht="42" customHeight="1">
      <x:c r="A113" s="30" t="str">
        <x:v>tourism</x:v>
      </x:c>
      <x:c r="B113" s="42" t="n">
        <x:v>2017</x:v>
      </x:c>
      <x:c r="C113" s="30" t="n">
        <x:v>2017</x:v>
      </x:c>
      <x:c r="D113" s="30" t="n">
        <x:v>2017</x:v>
      </x:c>
      <x:c r="E113" s="30" t="str">
        <x:v>annual</x:v>
      </x:c>
      <x:c r="F113" s="30" t="str">
        <x:v>tourist_visits</x:v>
      </x:c>
      <x:c r="G113" s="30" t="n">
        <x:v>2400</x:v>
      </x:c>
      <x:c r="H113" s="30" t="str">
        <x:v>10k_persons</x:v>
      </x:c>
      <x:c r="I113" s="30" t="str">
        <x:v>observed_rounded</x:v>
      </x:c>
      <x:c r="J113" s="30" t="str">
        <x:v>gov_jz_report_2018</x:v>
      </x:c>
      <x:c r="K113" s="30" t="n">
        <x:v>1</x:v>
      </x:c>
      <x:c r="L113" s="33" t="str">
        <x:v>https://www.tjjz.gov.cn/zwgk/ZFGZBG_20201207/202012/t20201227_5203142.html</x:v>
      </x:c>
      <x:c r="M113" s="33" t="str">
        <x:v>工作报告采用约数</x:v>
      </x:c>
    </x:row>
    <x:row r="114" ht="42" customHeight="1">
      <x:c r="A114" s="30" t="str">
        <x:v>tourism</x:v>
      </x:c>
      <x:c r="B114" s="42" t="n">
        <x:v>2017</x:v>
      </x:c>
      <x:c r="C114" s="30" t="n">
        <x:v>2017</x:v>
      </x:c>
      <x:c r="D114" s="30" t="n">
        <x:v>2017</x:v>
      </x:c>
      <x:c r="E114" s="30" t="str">
        <x:v>annual</x:v>
      </x:c>
      <x:c r="F114" s="30" t="str">
        <x:v>tourist_visits</x:v>
      </x:c>
      <x:c r="G114" s="30" t="n">
        <x:v>2392</x:v>
      </x:c>
      <x:c r="H114" s="30" t="str">
        <x:v>10k_persons</x:v>
      </x:c>
      <x:c r="I114" s="30" t="str">
        <x:v>observed</x:v>
      </x:c>
      <x:c r="J114" s="30" t="str">
        <x:v>gov_jz_tourism_stats_2017</x:v>
      </x:c>
      <x:c r="K114" s="30" t="n">
        <x:v>1</x:v>
      </x:c>
      <x:c r="L114" s="33" t="str">
        <x:v>https://www.tjjz.gov.cn/zwgk/zfxxgkqjjg/tjj1/fdzdgknr34/tjxx34/202012/t20201227_5212503.html</x:v>
      </x:c>
      <x:c r="M114" s="33"/>
    </x:row>
    <x:row r="115" ht="42" customHeight="1">
      <x:c r="A115" s="30" t="str">
        <x:v>tourism</x:v>
      </x:c>
      <x:c r="B115" s="42" t="n">
        <x:v>2018</x:v>
      </x:c>
      <x:c r="C115" s="30" t="n">
        <x:v>2018</x:v>
      </x:c>
      <x:c r="D115" s="30" t="n">
        <x:v>2018</x:v>
      </x:c>
      <x:c r="E115" s="30" t="str">
        <x:v>annual</x:v>
      </x:c>
      <x:c r="F115" s="30" t="str">
        <x:v>tourism_comprehensive_income</x:v>
      </x:c>
      <x:c r="G115" s="30" t="n">
        <x:v>142</x:v>
      </x:c>
      <x:c r="H115" s="30" t="str">
        <x:v>100m_cny</x:v>
      </x:c>
      <x:c r="I115" s="30" t="str">
        <x:v>observed_rounded</x:v>
      </x:c>
      <x:c r="J115" s="30" t="str">
        <x:v>gov_jz_report_2019</x:v>
      </x:c>
      <x:c r="K115" s="30" t="n">
        <x:v>1</x:v>
      </x:c>
      <x:c r="L115" s="33" t="str">
        <x:v>https://www.tjjz.gov.cn/zwgk/ZFGZBG_20201207/202012/t20201227_5203369.html</x:v>
      </x:c>
      <x:c r="M115" s="33"/>
    </x:row>
    <x:row r="116" ht="42" customHeight="1">
      <x:c r="A116" s="30" t="str">
        <x:v>tourism</x:v>
      </x:c>
      <x:c r="B116" s="42" t="n">
        <x:v>2018</x:v>
      </x:c>
      <x:c r="C116" s="30" t="n">
        <x:v>2018</x:v>
      </x:c>
      <x:c r="D116" s="30" t="n">
        <x:v>2018</x:v>
      </x:c>
      <x:c r="E116" s="30" t="str">
        <x:v>annual</x:v>
      </x:c>
      <x:c r="F116" s="30" t="str">
        <x:v>tourist_visits</x:v>
      </x:c>
      <x:c r="G116" s="30" t="n">
        <x:v>2660</x:v>
      </x:c>
      <x:c r="H116" s="30" t="str">
        <x:v>10k_persons</x:v>
      </x:c>
      <x:c r="I116" s="30" t="str">
        <x:v>observed_rounded</x:v>
      </x:c>
      <x:c r="J116" s="30" t="str">
        <x:v>gov_jz_report_2019</x:v>
      </x:c>
      <x:c r="K116" s="30" t="n">
        <x:v>1</x:v>
      </x:c>
      <x:c r="L116" s="33" t="str">
        <x:v>https://www.tjjz.gov.cn/zwgk/ZFGZBG_20201207/202012/t20201227_5203369.html</x:v>
      </x:c>
      <x:c r="M116" s="33"/>
    </x:row>
    <x:row r="117" ht="42" customHeight="1">
      <x:c r="A117" s="30" t="str">
        <x:v>tourism</x:v>
      </x:c>
      <x:c r="B117" s="42" t="n">
        <x:v>2019</x:v>
      </x:c>
      <x:c r="C117" s="30" t="n">
        <x:v>2019</x:v>
      </x:c>
      <x:c r="D117" s="30" t="n">
        <x:v>2019</x:v>
      </x:c>
      <x:c r="E117" s="30" t="str">
        <x:v>annual</x:v>
      </x:c>
      <x:c r="F117" s="30" t="str">
        <x:v>tourism_comprehensive_income</x:v>
      </x:c>
      <x:c r="G117" s="30" t="n">
        <x:v>165</x:v>
      </x:c>
      <x:c r="H117" s="30" t="str">
        <x:v>100m_cny</x:v>
      </x:c>
      <x:c r="I117" s="30" t="str">
        <x:v>observed_rounded</x:v>
      </x:c>
      <x:c r="J117" s="30" t="str">
        <x:v>gov_jz_report_2020</x:v>
      </x:c>
      <x:c r="K117" s="30" t="n">
        <x:v>1</x:v>
      </x:c>
      <x:c r="L117" s="33" t="str">
        <x:v>https://www.tjjz.gov.cn/zwgk/ZFGZBG_20201207/202012/t20201227_5203431.html</x:v>
      </x:c>
      <x:c r="M117" s="33"/>
    </x:row>
    <x:row r="118" ht="42" customHeight="1">
      <x:c r="A118" s="30" t="str">
        <x:v>tourism</x:v>
      </x:c>
      <x:c r="B118" s="42" t="n">
        <x:v>2019</x:v>
      </x:c>
      <x:c r="C118" s="30" t="n">
        <x:v>2019</x:v>
      </x:c>
      <x:c r="D118" s="30" t="n">
        <x:v>2019</x:v>
      </x:c>
      <x:c r="E118" s="30" t="str">
        <x:v>annual</x:v>
      </x:c>
      <x:c r="F118" s="30" t="str">
        <x:v>tourist_visits</x:v>
      </x:c>
      <x:c r="G118" s="30" t="n">
        <x:v>2800</x:v>
      </x:c>
      <x:c r="H118" s="30" t="str">
        <x:v>10k_persons</x:v>
      </x:c>
      <x:c r="I118" s="30" t="str">
        <x:v>observed_rounded</x:v>
      </x:c>
      <x:c r="J118" s="30" t="str">
        <x:v>gov_jz_report_2020</x:v>
      </x:c>
      <x:c r="K118" s="30" t="n">
        <x:v>1</x:v>
      </x:c>
      <x:c r="L118" s="33" t="str">
        <x:v>https://www.tjjz.gov.cn/zwgk/ZFGZBG_20201207/202012/t20201227_5203431.html</x:v>
      </x:c>
      <x:c r="M118" s="33"/>
    </x:row>
    <x:row r="119" ht="42" customHeight="1">
      <x:c r="A119" s="30" t="str">
        <x:v>tourism</x:v>
      </x:c>
      <x:c r="B119" s="42" t="n">
        <x:v>2021</x:v>
      </x:c>
      <x:c r="C119" s="30" t="n">
        <x:v>2021</x:v>
      </x:c>
      <x:c r="D119" s="30" t="n">
        <x:v>2021</x:v>
      </x:c>
      <x:c r="E119" s="30" t="str">
        <x:v>annual</x:v>
      </x:c>
      <x:c r="F119" s="30" t="str">
        <x:v>tourism_comprehensive_income</x:v>
      </x:c>
      <x:c r="G119" s="30" t="n">
        <x:v>110</x:v>
      </x:c>
      <x:c r="H119" s="30" t="str">
        <x:v>100m_cny</x:v>
      </x:c>
      <x:c r="I119" s="30" t="str">
        <x:v>observed_rounded</x:v>
      </x:c>
      <x:c r="J119" s="30" t="str">
        <x:v>gov_jz_report_2022</x:v>
      </x:c>
      <x:c r="K119" s="30" t="n">
        <x:v>1</x:v>
      </x:c>
      <x:c r="L119" s="33" t="str">
        <x:v>https://www.tjjz.gov.cn/zwgk/ZFGZBG_20201207/202112/t20211227_5762428.html</x:v>
      </x:c>
      <x:c r="M119" s="33" t="str">
        <x:v>未找到同口径精确游客量</x:v>
      </x:c>
    </x:row>
    <x:row r="120" ht="42" customHeight="1">
      <x:c r="A120" s="30" t="str">
        <x:v>tourism</x:v>
      </x:c>
      <x:c r="B120" s="42" t="n">
        <x:v>2021</x:v>
      </x:c>
      <x:c r="C120" s="30" t="n">
        <x:v>2021</x:v>
      </x:c>
      <x:c r="D120" s="30" t="n">
        <x:v>2025</x:v>
      </x:c>
      <x:c r="E120" s="30" t="str">
        <x:v>five_year_total</x:v>
      </x:c>
      <x:c r="F120" s="30" t="str">
        <x:v>tourism_comprehensive_income</x:v>
      </x:c>
      <x:c r="G120" s="30" t="n">
        <x:v>792.5</x:v>
      </x:c>
      <x:c r="H120" s="30" t="str">
        <x:v>100m_cny</x:v>
      </x:c>
      <x:c r="I120" s="30" t="str">
        <x:v>observed_aggregate</x:v>
      </x:c>
      <x:c r="J120" s="30" t="str">
        <x:v>gov_jz_report_2026</x:v>
      </x:c>
      <x:c r="K120" s="30" t="n">
        <x:v>1</x:v>
      </x:c>
      <x:c r="L120" s="33" t="str">
        <x:v>https://www.tjjz.gov.cn/zwgk/ZFGZBG_20201207/202601/t20260121_7228239.html</x:v>
      </x:c>
      <x:c r="M120" s="33" t="str">
        <x:v>十四五五年累计值；不能直接当作2025年度值</x:v>
      </x:c>
    </x:row>
    <x:row r="121" ht="42" customHeight="1">
      <x:c r="A121" s="30" t="str">
        <x:v>tourism</x:v>
      </x:c>
      <x:c r="B121" s="42" t="n">
        <x:v>2021</x:v>
      </x:c>
      <x:c r="C121" s="30" t="n">
        <x:v>2021</x:v>
      </x:c>
      <x:c r="D121" s="30" t="n">
        <x:v>2025</x:v>
      </x:c>
      <x:c r="E121" s="30" t="str">
        <x:v>five_year_total</x:v>
      </x:c>
      <x:c r="F121" s="30" t="str">
        <x:v>tourist_visits</x:v>
      </x:c>
      <x:c r="G121" s="30" t="n">
        <x:v>10500</x:v>
      </x:c>
      <x:c r="H121" s="30" t="str">
        <x:v>10k_persons</x:v>
      </x:c>
      <x:c r="I121" s="30" t="str">
        <x:v>observed_aggregate</x:v>
      </x:c>
      <x:c r="J121" s="30" t="str">
        <x:v>gov_jz_report_2026</x:v>
      </x:c>
      <x:c r="K121" s="30" t="n">
        <x:v>1</x:v>
      </x:c>
      <x:c r="L121" s="33" t="str">
        <x:v>https://www.tjjz.gov.cn/zwgk/ZFGZBG_20201207/202601/t20260121_7228239.html</x:v>
      </x:c>
      <x:c r="M121" s="33" t="str">
        <x:v>十四五五年累计值；不能直接当作2025年度值</x:v>
      </x:c>
    </x:row>
    <x:row r="122" ht="42" customHeight="1">
      <x:c r="A122" s="30" t="str">
        <x:v>tourism</x:v>
      </x:c>
      <x:c r="B122" s="42" t="n">
        <x:v>2023</x:v>
      </x:c>
      <x:c r="C122" s="30" t="n">
        <x:v>2023</x:v>
      </x:c>
      <x:c r="D122" s="30" t="n">
        <x:v>2023</x:v>
      </x:c>
      <x:c r="E122" s="30" t="str">
        <x:v>annual</x:v>
      </x:c>
      <x:c r="F122" s="30" t="str">
        <x:v>tourism_comprehensive_income</x:v>
      </x:c>
      <x:c r="G122" s="30" t="n">
        <x:v>160</x:v>
      </x:c>
      <x:c r="H122" s="30" t="str">
        <x:v>100m_cny</x:v>
      </x:c>
      <x:c r="I122" s="30" t="str">
        <x:v>target</x:v>
      </x:c>
      <x:c r="J122" s="30" t="str">
        <x:v>gov_jz_report_2023</x:v>
      </x:c>
      <x:c r="K122" s="30" t="n">
        <x:v>1</x:v>
      </x:c>
      <x:c r="L122" s="33" t="str">
        <x:v>https://www.tjjz.gov.cn/zwgk/ZFGZBG_20201207/202301/t20230106_6070587.html</x:v>
      </x:c>
      <x:c r="M122" s="33" t="str">
        <x:v>2023年目标而非2022年实际</x:v>
      </x:c>
    </x:row>
    <x:row r="123" ht="42" customHeight="1">
      <x:c r="A123" s="30" t="str">
        <x:v>tourism</x:v>
      </x:c>
      <x:c r="B123" s="42" t="n">
        <x:v>2023</x:v>
      </x:c>
      <x:c r="C123" s="30" t="n">
        <x:v>2023</x:v>
      </x:c>
      <x:c r="D123" s="30" t="n">
        <x:v>2023</x:v>
      </x:c>
      <x:c r="E123" s="30" t="str">
        <x:v>annual</x:v>
      </x:c>
      <x:c r="F123" s="30" t="str">
        <x:v>tourism_comprehensive_income</x:v>
      </x:c>
      <x:c r="G123" s="30" t="n">
        <x:v>191.5</x:v>
      </x:c>
      <x:c r="H123" s="30" t="str">
        <x:v>100m_cny</x:v>
      </x:c>
      <x:c r="I123" s="30" t="str">
        <x:v>observed</x:v>
      </x:c>
      <x:c r="J123" s="30" t="str">
        <x:v>gov_jz_report_2024</x:v>
      </x:c>
      <x:c r="K123" s="30" t="n">
        <x:v>1</x:v>
      </x:c>
      <x:c r="L123" s="33" t="str">
        <x:v>https://www.tjjz.gov.cn/zwgk/ZFGZBG_20201207/202401/t20240130_6524881.html</x:v>
      </x:c>
      <x:c r="M123" s="33"/>
    </x:row>
    <x:row r="124" ht="42" customHeight="1">
      <x:c r="A124" s="30" t="str">
        <x:v>tourism</x:v>
      </x:c>
      <x:c r="B124" s="42" t="n">
        <x:v>2023</x:v>
      </x:c>
      <x:c r="C124" s="30" t="n">
        <x:v>2023</x:v>
      </x:c>
      <x:c r="D124" s="30" t="n">
        <x:v>2023</x:v>
      </x:c>
      <x:c r="E124" s="30" t="str">
        <x:v>annual</x:v>
      </x:c>
      <x:c r="F124" s="30" t="str">
        <x:v>tourism_direct_income</x:v>
      </x:c>
      <x:c r="G124" s="30" t="n">
        <x:v>32</x:v>
      </x:c>
      <x:c r="H124" s="30" t="str">
        <x:v>100m_cny</x:v>
      </x:c>
      <x:c r="I124" s="30" t="str">
        <x:v>target</x:v>
      </x:c>
      <x:c r="J124" s="30" t="str">
        <x:v>gov_jz_report_2023</x:v>
      </x:c>
      <x:c r="K124" s="30" t="n">
        <x:v>1</x:v>
      </x:c>
      <x:c r="L124" s="33" t="str">
        <x:v>https://www.tjjz.gov.cn/zwgk/ZFGZBG_20201207/202301/t20230106_6070587.html</x:v>
      </x:c>
      <x:c r="M124" s="33" t="str">
        <x:v>2023年目标而非2022年实际</x:v>
      </x:c>
    </x:row>
    <x:row r="125" ht="42" customHeight="1">
      <x:c r="A125" s="30" t="str">
        <x:v>tourism</x:v>
      </x:c>
      <x:c r="B125" s="42" t="n">
        <x:v>2023</x:v>
      </x:c>
      <x:c r="C125" s="30" t="n">
        <x:v>2023</x:v>
      </x:c>
      <x:c r="D125" s="30" t="n">
        <x:v>2023</x:v>
      </x:c>
      <x:c r="E125" s="30" t="str">
        <x:v>annual</x:v>
      </x:c>
      <x:c r="F125" s="30" t="str">
        <x:v>tourist_visits</x:v>
      </x:c>
      <x:c r="G125" s="30" t="n">
        <x:v>2363</x:v>
      </x:c>
      <x:c r="H125" s="30" t="str">
        <x:v>10k_persons</x:v>
      </x:c>
      <x:c r="I125" s="30" t="str">
        <x:v>observed_rounded</x:v>
      </x:c>
      <x:c r="J125" s="30" t="str">
        <x:v>gov_jz_report_2024</x:v>
      </x:c>
      <x:c r="K125" s="30" t="n">
        <x:v>1</x:v>
      </x:c>
      <x:c r="L125" s="33" t="str">
        <x:v>https://www.tjjz.gov.cn/zwgk/ZFGZBG_20201207/202401/t20240130_6524881.html</x:v>
      </x:c>
      <x:c r="M125" s="33"/>
    </x:row>
    <x:row r="126" ht="42" customHeight="1">
      <x:c r="A126" s="30" t="str">
        <x:v>tourism</x:v>
      </x:c>
      <x:c r="B126" s="42" t="n">
        <x:v>2024</x:v>
      </x:c>
      <x:c r="C126" s="30" t="n">
        <x:v>2024</x:v>
      </x:c>
      <x:c r="D126" s="30" t="n">
        <x:v>2024</x:v>
      </x:c>
      <x:c r="E126" s="30" t="str">
        <x:v>annual</x:v>
      </x:c>
      <x:c r="F126" s="30" t="str">
        <x:v>tourism_comprehensive_income</x:v>
      </x:c>
      <x:c r="G126" s="30" t="n">
        <x:v>221</x:v>
      </x:c>
      <x:c r="H126" s="30" t="str">
        <x:v>100m_cny</x:v>
      </x:c>
      <x:c r="I126" s="30" t="str">
        <x:v>observed_rounded</x:v>
      </x:c>
      <x:c r="J126" s="30" t="str">
        <x:v>gov_jz_report_2025</x:v>
      </x:c>
      <x:c r="K126" s="30" t="n">
        <x:v>1</x:v>
      </x:c>
      <x:c r="L126" s="33" t="str">
        <x:v>https://www.tjjz.gov.cn/zwgk/ZFGZBG_20201207/202501/t20250114_6833334.html</x:v>
      </x:c>
      <x:c r="M126" s="33"/>
    </x:row>
    <x:row r="127" ht="42" customHeight="1">
      <x:c r="A127" s="30" t="str">
        <x:v>tourism</x:v>
      </x:c>
      <x:c r="B127" s="42" t="n">
        <x:v>2024</x:v>
      </x:c>
      <x:c r="C127" s="30" t="n">
        <x:v>2024</x:v>
      </x:c>
      <x:c r="D127" s="30" t="n">
        <x:v>2024</x:v>
      </x:c>
      <x:c r="E127" s="30" t="str">
        <x:v>annual</x:v>
      </x:c>
      <x:c r="F127" s="30" t="str">
        <x:v>tourist_visits</x:v>
      </x:c>
      <x:c r="G127" s="30" t="n">
        <x:v>2643</x:v>
      </x:c>
      <x:c r="H127" s="30" t="str">
        <x:v>10k_persons</x:v>
      </x:c>
      <x:c r="I127" s="30" t="str">
        <x:v>observed_rounded</x:v>
      </x:c>
      <x:c r="J127" s="30" t="str">
        <x:v>gov_jz_report_2025</x:v>
      </x:c>
      <x:c r="K127" s="30" t="n">
        <x:v>1</x:v>
      </x:c>
      <x:c r="L127" s="33" t="str">
        <x:v>https://www.tjjz.gov.cn/zwgk/ZFGZBG_20201207/202501/t20250114_6833334.html</x:v>
      </x:c>
      <x:c r="M127" s="33"/>
    </x:row>
    <x:row r="128" ht="42" customHeight="1">
      <x:c r="A128" s="30" t="str">
        <x:v>tourism</x:v>
      </x:c>
      <x:c r="B128" s="42" t="n">
        <x:v>2025</x:v>
      </x:c>
      <x:c r="C128" s="30" t="n">
        <x:v>2025</x:v>
      </x:c>
      <x:c r="D128" s="30" t="n">
        <x:v>2025</x:v>
      </x:c>
      <x:c r="E128" s="30" t="str">
        <x:v>annual</x:v>
      </x:c>
      <x:c r="F128" s="30" t="str">
        <x:v>tourism_comprehensive_income</x:v>
      </x:c>
      <x:c r="G128" s="30" t="n">
        <x:v>231</x:v>
      </x:c>
      <x:c r="H128" s="30" t="str">
        <x:v>100m_cny</x:v>
      </x:c>
      <x:c r="I128" s="30" t="str">
        <x:v>target</x:v>
      </x:c>
      <x:c r="J128" s="30" t="str">
        <x:v>gov_jz_report_2025</x:v>
      </x:c>
      <x:c r="K128" s="30" t="n">
        <x:v>1</x:v>
      </x:c>
      <x:c r="L128" s="33" t="str">
        <x:v>https://www.tjjz.gov.cn/zwgk/ZFGZBG_20201207/202501/t20250114_6833334.html</x:v>
      </x:c>
      <x:c r="M128" s="33" t="str">
        <x:v>2025年目标而非实际</x:v>
      </x:c>
    </x:row>
    <x:row r="129" ht="42" customHeight="1">
      <x:c r="A129" s="31" t="str">
        <x:v>tourism</x:v>
      </x:c>
      <x:c r="B129" s="43" t="n">
        <x:v>2025</x:v>
      </x:c>
      <x:c r="C129" s="31" t="n">
        <x:v>2025</x:v>
      </x:c>
      <x:c r="D129" s="31" t="n">
        <x:v>2025</x:v>
      </x:c>
      <x:c r="E129" s="31" t="str">
        <x:v>annual</x:v>
      </x:c>
      <x:c r="F129" s="31" t="str">
        <x:v>tourist_visits</x:v>
      </x:c>
      <x:c r="G129" s="31" t="n">
        <x:v>2800</x:v>
      </x:c>
      <x:c r="H129" s="31" t="str">
        <x:v>10k_persons</x:v>
      </x:c>
      <x:c r="I129" s="31" t="str">
        <x:v>target</x:v>
      </x:c>
      <x:c r="J129" s="31" t="str">
        <x:v>gov_jz_report_2025</x:v>
      </x:c>
      <x:c r="K129" s="31" t="n">
        <x:v>1</x:v>
      </x:c>
      <x:c r="L129" s="34" t="str">
        <x:v>https://www.tjjz.gov.cn/zwgk/ZFGZBG_20201207/202501/t20250114_6833334.html</x:v>
      </x:c>
      <x:c r="M129" s="34" t="str">
        <x:v>2025年目标而非实际</x:v>
      </x:c>
    </x:row>
  </x:sheetData>
  <x:pageMargins left="0.7" right="0.7" top="0.75" bottom="0.75" header="0.3" footer="0.3"/>
  <x:tableParts count="1">
    <x:tablePart xmlns:r="http://schemas.openxmlformats.org/officeDocument/2006/relationships" r:id="Re2f9738bdd824f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</x:cols>
  <x:sheetData>
    <x:row r="1" ht="50" customHeight="1">
      <x:c r="A1" s="23" t="str">
        <x:v>metric</x:v>
      </x:c>
      <x:c r="B1" s="24" t="str">
        <x:v>observed_years</x:v>
      </x:c>
      <x:c r="C1" s="24" t="str">
        <x:v>total_years</x:v>
      </x:c>
      <x:c r="D1" s="24" t="str">
        <x:v>coverage_rate</x:v>
      </x:c>
      <x:c r="E1" s="24" t="str">
        <x:v>missing_years</x:v>
      </x:c>
      <x:c r="F1" s="25" t="str">
        <x:v>handling</x:v>
      </x:c>
    </x:row>
    <x:row r="2" ht="24" customHeight="1">
      <x:c r="A2" s="29" t="str">
        <x:v>tourist_visits</x:v>
      </x:c>
      <x:c r="B2" s="41" t="n">
        <x:v>12</x:v>
      </x:c>
      <x:c r="C2" s="41" t="n">
        <x:v>16</x:v>
      </x:c>
      <x:c r="D2" s="44" t="n">
        <x:v>0.75</x:v>
      </x:c>
      <x:c r="E2" s="47" t="str">
        <x:v>2020;2021;2022;2025</x:v>
      </x:c>
      <x:c r="F2" s="32" t="str">
        <x:v>retain_missing_and_model_state</x:v>
      </x:c>
    </x:row>
    <x:row r="3" ht="24" customHeight="1">
      <x:c r="A3" s="30" t="str">
        <x:v>tourism_comprehensive_income</x:v>
      </x:c>
      <x:c r="B3" s="42" t="n">
        <x:v>12</x:v>
      </x:c>
      <x:c r="C3" s="42" t="n">
        <x:v>16</x:v>
      </x:c>
      <x:c r="D3" s="45" t="n">
        <x:v>0.75</x:v>
      </x:c>
      <x:c r="E3" s="48" t="str">
        <x:v>2016;2020;2022;2025</x:v>
      </x:c>
      <x:c r="F3" s="33" t="str">
        <x:v>retain_missing_and_model_state</x:v>
      </x:c>
    </x:row>
    <x:row r="4" ht="24" customHeight="1">
      <x:c r="A4" s="30" t="str">
        <x:v>gdp</x:v>
      </x:c>
      <x:c r="B4" s="42" t="n">
        <x:v>15</x:v>
      </x:c>
      <x:c r="C4" s="42" t="n">
        <x:v>16</x:v>
      </x:c>
      <x:c r="D4" s="45" t="n">
        <x:v>0.9375</x:v>
      </x:c>
      <x:c r="E4" s="48" t="n">
        <x:v>2017</x:v>
      </x:c>
      <x:c r="F4" s="33" t="str">
        <x:v>retain_missing</x:v>
      </x:c>
    </x:row>
    <x:row r="5" ht="24" customHeight="1">
      <x:c r="A5" s="30" t="str">
        <x:v>tertiary_value_added</x:v>
      </x:c>
      <x:c r="B5" s="42" t="n">
        <x:v>11</x:v>
      </x:c>
      <x:c r="C5" s="42" t="n">
        <x:v>16</x:v>
      </x:c>
      <x:c r="D5" s="45" t="n">
        <x:v>0.6875</x:v>
      </x:c>
      <x:c r="E5" s="48" t="str">
        <x:v>2012;2015;2016;2017;2018</x:v>
      </x:c>
      <x:c r="F5" s="33" t="str">
        <x:v>retain_missing</x:v>
      </x:c>
    </x:row>
    <x:row r="6" ht="24" customHeight="1">
      <x:c r="A6" s="30" t="str">
        <x:v>macro_break_2019</x:v>
      </x:c>
      <x:c r="B6" s="42"/>
      <x:c r="C6" s="42" t="n">
        <x:v>16</x:v>
      </x:c>
      <x:c r="D6" s="45"/>
      <x:c r="E6" s="48"/>
      <x:c r="F6" s="33" t="str">
        <x:v>exclude_cross_break_growth</x:v>
      </x:c>
    </x:row>
    <x:row r="7" ht="24" customHeight="1">
      <x:c r="A7" s="31" t="str">
        <x:v>consistent_cpi</x:v>
      </x:c>
      <x:c r="B7" s="43" t="n">
        <x:v>0</x:v>
      </x:c>
      <x:c r="C7" s="43" t="n">
        <x:v>16</x:v>
      </x:c>
      <x:c r="D7" s="46" t="n">
        <x:v>0</x:v>
      </x:c>
      <x:c r="E7" s="49" t="str">
        <x:v>2010-2025</x:v>
      </x:c>
      <x:c r="F7" s="34" t="str">
        <x:v>use_nominal_income_only</x:v>
      </x:c>
    </x:row>
  </x:sheetData>
  <x:pageMargins left="0.7" right="0.7" top="0.75" bottom="0.75" header="0.3" footer="0.3"/>
  <x:tableParts count="1">
    <x:tablePart xmlns:r="http://schemas.openxmlformats.org/officeDocument/2006/relationships" r:id="R10018db4545740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50" customHeight="1">
      <x:c r="A1" s="23" t="str">
        <x:v>metric</x:v>
      </x:c>
      <x:c r="B1" s="24" t="str">
        <x:v>model</x:v>
      </x:c>
      <x:c r="C1" s="24" t="str">
        <x:v>n</x:v>
      </x:c>
      <x:c r="D1" s="24" t="str">
        <x:v>aicc</x:v>
      </x:c>
      <x:c r="E1" s="24" t="str">
        <x:v>rmse</x:v>
      </x:c>
      <x:c r="F1" s="24" t="str">
        <x:v>loocv_rmse</x:v>
      </x:c>
      <x:c r="G1" s="25" t="str">
        <x:v>mape_percent</x:v>
      </x:c>
    </x:row>
    <x:row r="2" ht="24" customHeight="1">
      <x:c r="A2" s="29" t="str">
        <x:v>tourist_visits_10k_persons</x:v>
      </x:c>
      <x:c r="B2" s="29" t="str">
        <x:v>exponential</x:v>
      </x:c>
      <x:c r="C2" s="41" t="n">
        <x:v>12</x:v>
      </x:c>
      <x:c r="D2" s="29" t="n">
        <x:v>-35.00039242758499</x:v>
      </x:c>
      <x:c r="E2" s="50" t="n">
        <x:v>422.052562288574</x:v>
      </x:c>
      <x:c r="F2" s="50" t="n">
        <x:v>585.8958692294665</x:v>
      </x:c>
      <x:c r="G2" s="29" t="n">
        <x:v>16.950529748052777</x:v>
      </x:c>
    </x:row>
    <x:row r="3" ht="24" customHeight="1">
      <x:c r="A3" s="30" t="str">
        <x:v>tourist_visits_10k_persons</x:v>
      </x:c>
      <x:c r="B3" s="30" t="str">
        <x:v>logistic</x:v>
      </x:c>
      <x:c r="C3" s="42" t="n">
        <x:v>12</x:v>
      </x:c>
      <x:c r="D3" s="30" t="n">
        <x:v>-41.302137864094455</x:v>
      </x:c>
      <x:c r="E3" s="51" t="n">
        <x:v>223.03138016648705</x:v>
      </x:c>
      <x:c r="F3" s="51" t="n">
        <x:v>264.72947078164526</x:v>
      </x:c>
      <x:c r="G3" s="30" t="n">
        <x:v>11.38108877345238</x:v>
      </x:c>
    </x:row>
    <x:row r="4" ht="24" customHeight="1">
      <x:c r="A4" s="30" t="str">
        <x:v>tourist_visits_10k_persons</x:v>
      </x:c>
      <x:c r="B4" s="30" t="str">
        <x:v>gompertz</x:v>
      </x:c>
      <x:c r="C4" s="42" t="n">
        <x:v>12</x:v>
      </x:c>
      <x:c r="D4" s="30" t="n">
        <x:v>-40.4238794889167</x:v>
      </x:c>
      <x:c r="E4" s="51" t="n">
        <x:v>233.50233541646526</x:v>
      </x:c>
      <x:c r="F4" s="51" t="n">
        <x:v>272.1226369728229</x:v>
      </x:c>
      <x:c r="G4" s="30" t="n">
        <x:v>11.852569945639198</x:v>
      </x:c>
    </x:row>
    <x:row r="5" ht="24" customHeight="1">
      <x:c r="A5" s="30" t="str">
        <x:v>tourist_visits_10k_persons</x:v>
      </x:c>
      <x:c r="B5" s="30" t="str">
        <x:v>segmented_log_linear</x:v>
      </x:c>
      <x:c r="C5" s="42" t="n">
        <x:v>12</x:v>
      </x:c>
      <x:c r="D5" s="30" t="n">
        <x:v>-68.22301692662626</x:v>
      </x:c>
      <x:c r="E5" s="51" t="n">
        <x:v>78.98555204040656</x:v>
      </x:c>
      <x:c r="F5" s="51" t="n">
        <x:v>114.89043394910537</x:v>
      </x:c>
      <x:c r="G5" s="30" t="n">
        <x:v>3.3855943701310167</x:v>
      </x:c>
    </x:row>
    <x:row r="6" ht="24" customHeight="1">
      <x:c r="A6" s="30" t="str">
        <x:v>tourism_comprehensive_income_100m_cny</x:v>
      </x:c>
      <x:c r="B6" s="30" t="str">
        <x:v>exponential</x:v>
      </x:c>
      <x:c r="C6" s="42" t="n">
        <x:v>11</x:v>
      </x:c>
      <x:c r="D6" s="30" t="n">
        <x:v>-36.81278049890711</x:v>
      </x:c>
      <x:c r="E6" s="51" t="n">
        <x:v>21.805241611327375</x:v>
      </x:c>
      <x:c r="F6" s="51" t="n">
        <x:v>32.001728995324115</x:v>
      </x:c>
      <x:c r="G6" s="30" t="n">
        <x:v>13.418608773222166</x:v>
      </x:c>
    </x:row>
    <x:row r="7" ht="24" customHeight="1">
      <x:c r="A7" s="30" t="str">
        <x:v>tourism_comprehensive_income_100m_cny</x:v>
      </x:c>
      <x:c r="B7" s="30" t="str">
        <x:v>logistic</x:v>
      </x:c>
      <x:c r="C7" s="42" t="n">
        <x:v>11</x:v>
      </x:c>
      <x:c r="D7" s="30" t="n">
        <x:v>-62.85470109461862</x:v>
      </x:c>
      <x:c r="E7" s="51" t="n">
        <x:v>5.61213176359468</x:v>
      </x:c>
      <x:c r="F7" s="51" t="n">
        <x:v>9.444684808360751</x:v>
      </x:c>
      <x:c r="G7" s="30" t="n">
        <x:v>3.0303560765255586</x:v>
      </x:c>
    </x:row>
    <x:row r="8" ht="24" customHeight="1">
      <x:c r="A8" s="30" t="str">
        <x:v>tourism_comprehensive_income_100m_cny</x:v>
      </x:c>
      <x:c r="B8" s="30" t="str">
        <x:v>gompertz</x:v>
      </x:c>
      <x:c r="C8" s="42" t="n">
        <x:v>11</x:v>
      </x:c>
      <x:c r="D8" s="30" t="n">
        <x:v>-56.646945375118776</x:v>
      </x:c>
      <x:c r="E8" s="51" t="n">
        <x:v>6.447599542365082</x:v>
      </x:c>
      <x:c r="F8" s="51" t="n">
        <x:v>9.165598668288556</x:v>
      </x:c>
      <x:c r="G8" s="30" t="n">
        <x:v>4.375821837298239</x:v>
      </x:c>
    </x:row>
    <x:row r="9" ht="24" customHeight="1">
      <x:c r="A9" s="31" t="str">
        <x:v>tourism_comprehensive_income_100m_cny</x:v>
      </x:c>
      <x:c r="B9" s="31" t="str">
        <x:v>segmented_log_linear</x:v>
      </x:c>
      <x:c r="C9" s="43" t="n">
        <x:v>11</x:v>
      </x:c>
      <x:c r="D9" s="31" t="n">
        <x:v>-60.627959813407</x:v>
      </x:c>
      <x:c r="E9" s="52" t="n">
        <x:v>4.477966841153965</x:v>
      </x:c>
      <x:c r="F9" s="52" t="n">
        <x:v>6.6438778775198495</x:v>
      </x:c>
      <x:c r="G9" s="31" t="n">
        <x:v>3.569235458736417</x:v>
      </x:c>
    </x:row>
  </x:sheetData>
  <x:pageMargins left="0.7" right="0.7" top="0.75" bottom="0.75" header="0.3" footer="0.3"/>
  <x:tableParts count="1">
    <x:tablePart xmlns:r="http://schemas.openxmlformats.org/officeDocument/2006/relationships" r:id="R4406819285b846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50" customHeight="1">
      <x:c r="A1" s="23" t="str">
        <x:v>metric</x:v>
      </x:c>
      <x:c r="B1" s="24" t="str">
        <x:v>model</x:v>
      </x:c>
      <x:c r="C1" s="24" t="str">
        <x:v>parameter</x:v>
      </x:c>
      <x:c r="D1" s="24" t="str">
        <x:v>estimate</x:v>
      </x:c>
      <x:c r="E1" s="24" t="str">
        <x:v>residual_sigma_log</x:v>
      </x:c>
      <x:c r="F1" s="24" t="str">
        <x:v>standard_error</x:v>
      </x:c>
      <x:c r="G1" s="24" t="str">
        <x:v>test_statistic</x:v>
      </x:c>
      <x:c r="H1" s="24" t="str">
        <x:v>p_value</x:v>
      </x:c>
      <x:c r="I1" s="24" t="str">
        <x:v>ci95_lower</x:v>
      </x:c>
      <x:c r="J1" s="24" t="str">
        <x:v>ci95_upper</x:v>
      </x:c>
      <x:c r="K1" s="25" t="str">
        <x:v>inference_note</x:v>
      </x:c>
    </x:row>
    <x:row r="2" ht="34" customHeight="1">
      <x:c r="A2" s="29" t="str">
        <x:v>tourist_visits_10k_persons</x:v>
      </x:c>
      <x:c r="B2" s="29" t="str">
        <x:v>segmented</x:v>
      </x:c>
      <x:c r="C2" s="29" t="str">
        <x:v>intercept</x:v>
      </x:c>
      <x:c r="D2" s="50" t="n">
        <x:v>6.801720729989617</x:v>
      </x:c>
      <x:c r="E2" s="29" t="n">
        <x:v>0.04624579819215279</x:v>
      </x:c>
      <x:c r="F2" s="29" t="n">
        <x:v>0.02712291043081549</x:v>
      </x:c>
      <x:c r="G2" s="29" t="n">
        <x:v>250.77399961701354</x:v>
      </x:c>
      <x:c r="H2" s="53" t="n">
        <x:v>0</x:v>
      </x:c>
      <x:c r="I2" s="50" t="n">
        <x:v>6.748559825545218</x:v>
      </x:c>
      <x:c r="J2" s="50" t="n">
        <x:v>6.854881634434015</x:v>
      </x:c>
      <x:c r="K2" s="32" t="str">
        <x:v>normal approximation; small-sample caution</x:v>
      </x:c>
    </x:row>
    <x:row r="3" ht="34" customHeight="1">
      <x:c r="A3" s="30" t="str">
        <x:v>tourist_visits_10k_persons</x:v>
      </x:c>
      <x:c r="B3" s="30" t="str">
        <x:v>segmented</x:v>
      </x:c>
      <x:c r="C3" s="30" t="str">
        <x:v>trend</x:v>
      </x:c>
      <x:c r="D3" s="51" t="n">
        <x:v>0.13429823361528748</x:v>
      </x:c>
      <x:c r="E3" s="30" t="n">
        <x:v>0.04624579819215279</x:v>
      </x:c>
      <x:c r="F3" s="30" t="n">
        <x:v>0.005076135816194215</x:v>
      </x:c>
      <x:c r="G3" s="30" t="n">
        <x:v>26.456784940001132</x:v>
      </x:c>
      <x:c r="H3" s="54" t="n">
        <x:v>3.048476811347036e-154</x:v>
      </x:c>
      <x:c r="I3" s="51" t="n">
        <x:v>0.12434900741554682</x:v>
      </x:c>
      <x:c r="J3" s="51" t="n">
        <x:v>0.14424745981502815</x:v>
      </x:c>
      <x:c r="K3" s="33" t="str">
        <x:v>normal approximation; small-sample caution</x:v>
      </x:c>
    </x:row>
    <x:row r="4" ht="34" customHeight="1">
      <x:c r="A4" s="30" t="str">
        <x:v>tourist_visits_10k_persons</x:v>
      </x:c>
      <x:c r="B4" s="30" t="str">
        <x:v>segmented</x:v>
      </x:c>
      <x:c r="C4" s="30" t="str">
        <x:v>post_2022_level</x:v>
      </x:c>
      <x:c r="D4" s="51" t="n">
        <x:v>-0.7910682879003965</x:v>
      </x:c>
      <x:c r="E4" s="30" t="n">
        <x:v>0.04624579819215279</x:v>
      </x:c>
      <x:c r="F4" s="30" t="n">
        <x:v>0.058054662612386426</x:v>
      </x:c>
      <x:c r="G4" s="30" t="n">
        <x:v>-13.62626621710167</x:v>
      </x:c>
      <x:c r="H4" s="54" t="n">
        <x:v>2.7951972673847736e-42</x:v>
      </x:c>
      <x:c r="I4" s="51" t="n">
        <x:v>-0.9048554266206739</x:v>
      </x:c>
      <x:c r="J4" s="51" t="n">
        <x:v>-0.6772811491801192</x:v>
      </x:c>
      <x:c r="K4" s="33" t="str">
        <x:v>normal approximation; small-sample caution</x:v>
      </x:c>
    </x:row>
    <x:row r="5" ht="34" customHeight="1">
      <x:c r="A5" s="30" t="str">
        <x:v>tourist_visits_10k_persons</x:v>
      </x:c>
      <x:c r="B5" s="30" t="str">
        <x:v>damped_holt</x:v>
      </x:c>
      <x:c r="C5" s="30" t="str">
        <x:v>alpha</x:v>
      </x:c>
      <x:c r="D5" s="51" t="n">
        <x:v>0.8</x:v>
      </x:c>
      <x:c r="E5" s="30" t="n">
        <x:v>0.12001007906448395</x:v>
      </x:c>
      <x:c r="F5" s="30"/>
      <x:c r="G5" s="30"/>
      <x:c r="H5" s="54"/>
      <x:c r="I5" s="51"/>
      <x:c r="J5" s="51"/>
      <x:c r="K5" s="33" t="str">
        <x:v>tuning parameter; no coefficient test</x:v>
      </x:c>
    </x:row>
    <x:row r="6" ht="34" customHeight="1">
      <x:c r="A6" s="30" t="str">
        <x:v>tourist_visits_10k_persons</x:v>
      </x:c>
      <x:c r="B6" s="30" t="str">
        <x:v>damped_holt</x:v>
      </x:c>
      <x:c r="C6" s="30" t="str">
        <x:v>beta</x:v>
      </x:c>
      <x:c r="D6" s="51" t="n">
        <x:v>0.05</x:v>
      </x:c>
      <x:c r="E6" s="30" t="n">
        <x:v>0.12001007906448395</x:v>
      </x:c>
      <x:c r="F6" s="30"/>
      <x:c r="G6" s="30"/>
      <x:c r="H6" s="54"/>
      <x:c r="I6" s="51"/>
      <x:c r="J6" s="51"/>
      <x:c r="K6" s="33" t="str">
        <x:v>tuning parameter; no coefficient test</x:v>
      </x:c>
    </x:row>
    <x:row r="7" ht="34" customHeight="1">
      <x:c r="A7" s="30" t="str">
        <x:v>tourist_visits_10k_persons</x:v>
      </x:c>
      <x:c r="B7" s="30" t="str">
        <x:v>damped_holt</x:v>
      </x:c>
      <x:c r="C7" s="30" t="str">
        <x:v>phi</x:v>
      </x:c>
      <x:c r="D7" s="51" t="n">
        <x:v>0.85</x:v>
      </x:c>
      <x:c r="E7" s="30" t="n">
        <x:v>0.12001007906448395</x:v>
      </x:c>
      <x:c r="F7" s="30"/>
      <x:c r="G7" s="30"/>
      <x:c r="H7" s="54"/>
      <x:c r="I7" s="51"/>
      <x:c r="J7" s="51"/>
      <x:c r="K7" s="33" t="str">
        <x:v>tuning parameter; no coefficient test</x:v>
      </x:c>
    </x:row>
    <x:row r="8" ht="34" customHeight="1">
      <x:c r="A8" s="30" t="str">
        <x:v>tourist_visits_10k_persons</x:v>
      </x:c>
      <x:c r="B8" s="30" t="str">
        <x:v>local_linear_state</x:v>
      </x:c>
      <x:c r="C8" s="30" t="str">
        <x:v>q_level</x:v>
      </x:c>
      <x:c r="D8" s="51" t="n">
        <x:v>0.001</x:v>
      </x:c>
      <x:c r="E8" s="30" t="n">
        <x:v>0.1977043296372653</x:v>
      </x:c>
      <x:c r="F8" s="30"/>
      <x:c r="G8" s="30"/>
      <x:c r="H8" s="54"/>
      <x:c r="I8" s="51"/>
      <x:c r="J8" s="51"/>
      <x:c r="K8" s="33" t="str">
        <x:v>tuning parameter; no coefficient test</x:v>
      </x:c>
    </x:row>
    <x:row r="9" ht="34" customHeight="1">
      <x:c r="A9" s="30" t="str">
        <x:v>tourist_visits_10k_persons</x:v>
      </x:c>
      <x:c r="B9" s="30" t="str">
        <x:v>local_linear_state</x:v>
      </x:c>
      <x:c r="C9" s="30" t="str">
        <x:v>q_slope</x:v>
      </x:c>
      <x:c r="D9" s="51" t="n">
        <x:v>0.001</x:v>
      </x:c>
      <x:c r="E9" s="30" t="n">
        <x:v>0.1977043296372653</x:v>
      </x:c>
      <x:c r="F9" s="30"/>
      <x:c r="G9" s="30"/>
      <x:c r="H9" s="54"/>
      <x:c r="I9" s="51"/>
      <x:c r="J9" s="51"/>
      <x:c r="K9" s="33" t="str">
        <x:v>tuning parameter; no coefficient test</x:v>
      </x:c>
    </x:row>
    <x:row r="10" ht="34" customHeight="1">
      <x:c r="A10" s="30" t="str">
        <x:v>tourist_visits_10k_persons</x:v>
      </x:c>
      <x:c r="B10" s="30" t="str">
        <x:v>local_linear_state</x:v>
      </x:c>
      <x:c r="C10" s="30" t="str">
        <x:v>r</x:v>
      </x:c>
      <x:c r="D10" s="51" t="n">
        <x:v>0.002</x:v>
      </x:c>
      <x:c r="E10" s="30" t="n">
        <x:v>0.1977043296372653</x:v>
      </x:c>
      <x:c r="F10" s="30"/>
      <x:c r="G10" s="30"/>
      <x:c r="H10" s="54"/>
      <x:c r="I10" s="51"/>
      <x:c r="J10" s="51"/>
      <x:c r="K10" s="33" t="str">
        <x:v>tuning parameter; no coefficient test</x:v>
      </x:c>
    </x:row>
    <x:row r="11" ht="34" customHeight="1">
      <x:c r="A11" s="30" t="str">
        <x:v>tourism_comprehensive_income_100m_cny</x:v>
      </x:c>
      <x:c r="B11" s="30" t="str">
        <x:v>segmented</x:v>
      </x:c>
      <x:c r="C11" s="30" t="str">
        <x:v>intercept</x:v>
      </x:c>
      <x:c r="D11" s="51" t="n">
        <x:v>3.636548803434353</x:v>
      </x:c>
      <x:c r="E11" s="30" t="n">
        <x:v>0.04855000806307679</x:v>
      </x:c>
      <x:c r="F11" s="30" t="n">
        <x:v>0.02849084870184111</x:v>
      </x:c>
      <x:c r="G11" s="30" t="n">
        <x:v>127.63918834047774</x:v>
      </x:c>
      <x:c r="H11" s="54" t="n">
        <x:v>0</x:v>
      </x:c>
      <x:c r="I11" s="51" t="n">
        <x:v>3.5807067399787447</x:v>
      </x:c>
      <x:c r="J11" s="51" t="n">
        <x:v>3.6923908668899617</x:v>
      </x:c>
      <x:c r="K11" s="33" t="str">
        <x:v>normal approximation; small-sample caution</x:v>
      </x:c>
    </x:row>
    <x:row r="12" ht="34" customHeight="1">
      <x:c r="A12" s="30" t="str">
        <x:v>tourism_comprehensive_income_100m_cny</x:v>
      </x:c>
      <x:c r="B12" s="30" t="str">
        <x:v>segmented</x:v>
      </x:c>
      <x:c r="C12" s="30" t="str">
        <x:v>trend</x:v>
      </x:c>
      <x:c r="D12" s="51" t="n">
        <x:v>0.1694725773544749</x:v>
      </x:c>
      <x:c r="E12" s="30" t="n">
        <x:v>0.04855000806307679</x:v>
      </x:c>
      <x:c r="F12" s="30" t="n">
        <x:v>0.005411172342782087</x:v>
      </x:c>
      <x:c r="G12" s="30" t="n">
        <x:v>31.31901307496384</x:v>
      </x:c>
      <x:c r="H12" s="54" t="n">
        <x:v>2.5714536971988504e-215</x:v>
      </x:c>
      <x:c r="I12" s="51" t="n">
        <x:v>0.15886667956262202</x:v>
      </x:c>
      <x:c r="J12" s="51" t="n">
        <x:v>0.1800784751463278</x:v>
      </x:c>
      <x:c r="K12" s="33" t="str">
        <x:v>normal approximation; small-sample caution</x:v>
      </x:c>
    </x:row>
    <x:row r="13" ht="34" customHeight="1">
      <x:c r="A13" s="30" t="str">
        <x:v>tourism_comprehensive_income_100m_cny</x:v>
      </x:c>
      <x:c r="B13" s="30" t="str">
        <x:v>segmented</x:v>
      </x:c>
      <x:c r="C13" s="30" t="str">
        <x:v>post_2022_level</x:v>
      </x:c>
      <x:c r="D13" s="51" t="n">
        <x:v>-0.5979033426505409</x:v>
      </x:c>
      <x:c r="E13" s="30" t="n">
        <x:v>0.04855000806307679</x:v>
      </x:c>
      <x:c r="F13" s="30" t="n">
        <x:v>0.062456796233542645</x:v>
      </x:c>
      <x:c r="G13" s="30" t="n">
        <x:v>-9.573070965965346</x:v>
      </x:c>
      <x:c r="H13" s="54" t="n">
        <x:v>1.0377642603440553e-21</x:v>
      </x:c>
      <x:c r="I13" s="51" t="n">
        <x:v>-0.7203186632682845</x:v>
      </x:c>
      <x:c r="J13" s="51" t="n">
        <x:v>-0.47548802203279733</x:v>
      </x:c>
      <x:c r="K13" s="33" t="str">
        <x:v>normal approximation; small-sample caution</x:v>
      </x:c>
    </x:row>
    <x:row r="14" ht="34" customHeight="1">
      <x:c r="A14" s="30" t="str">
        <x:v>tourism_comprehensive_income_100m_cny</x:v>
      </x:c>
      <x:c r="B14" s="30" t="str">
        <x:v>damped_holt</x:v>
      </x:c>
      <x:c r="C14" s="30" t="str">
        <x:v>alpha</x:v>
      </x:c>
      <x:c r="D14" s="51" t="n">
        <x:v>0.8</x:v>
      </x:c>
      <x:c r="E14" s="30" t="n">
        <x:v>0.07595385513757169</x:v>
      </x:c>
      <x:c r="F14" s="30"/>
      <x:c r="G14" s="30"/>
      <x:c r="H14" s="54"/>
      <x:c r="I14" s="51"/>
      <x:c r="J14" s="51"/>
      <x:c r="K14" s="33" t="str">
        <x:v>tuning parameter; no coefficient test</x:v>
      </x:c>
    </x:row>
    <x:row r="15" ht="34" customHeight="1">
      <x:c r="A15" s="30" t="str">
        <x:v>tourism_comprehensive_income_100m_cny</x:v>
      </x:c>
      <x:c r="B15" s="30" t="str">
        <x:v>damped_holt</x:v>
      </x:c>
      <x:c r="C15" s="30" t="str">
        <x:v>beta</x:v>
      </x:c>
      <x:c r="D15" s="51" t="n">
        <x:v>0.3</x:v>
      </x:c>
      <x:c r="E15" s="30" t="n">
        <x:v>0.07595385513757169</x:v>
      </x:c>
      <x:c r="F15" s="30"/>
      <x:c r="G15" s="30"/>
      <x:c r="H15" s="54"/>
      <x:c r="I15" s="51"/>
      <x:c r="J15" s="51"/>
      <x:c r="K15" s="33" t="str">
        <x:v>tuning parameter; no coefficient test</x:v>
      </x:c>
    </x:row>
    <x:row r="16" ht="34" customHeight="1">
      <x:c r="A16" s="30" t="str">
        <x:v>tourism_comprehensive_income_100m_cny</x:v>
      </x:c>
      <x:c r="B16" s="30" t="str">
        <x:v>damped_holt</x:v>
      </x:c>
      <x:c r="C16" s="30" t="str">
        <x:v>phi</x:v>
      </x:c>
      <x:c r="D16" s="51" t="n">
        <x:v>0.85</x:v>
      </x:c>
      <x:c r="E16" s="30" t="n">
        <x:v>0.07595385513757169</x:v>
      </x:c>
      <x:c r="F16" s="30"/>
      <x:c r="G16" s="30"/>
      <x:c r="H16" s="54"/>
      <x:c r="I16" s="51"/>
      <x:c r="J16" s="51"/>
      <x:c r="K16" s="33" t="str">
        <x:v>tuning parameter; no coefficient test</x:v>
      </x:c>
    </x:row>
    <x:row r="17" ht="34" customHeight="1">
      <x:c r="A17" s="30" t="str">
        <x:v>tourism_comprehensive_income_100m_cny</x:v>
      </x:c>
      <x:c r="B17" s="30" t="str">
        <x:v>local_linear_state</x:v>
      </x:c>
      <x:c r="C17" s="30" t="str">
        <x:v>q_level</x:v>
      </x:c>
      <x:c r="D17" s="51" t="n">
        <x:v>0.001</x:v>
      </x:c>
      <x:c r="E17" s="30" t="n">
        <x:v>0.15077314561748292</x:v>
      </x:c>
      <x:c r="F17" s="30"/>
      <x:c r="G17" s="30"/>
      <x:c r="H17" s="54"/>
      <x:c r="I17" s="51"/>
      <x:c r="J17" s="51"/>
      <x:c r="K17" s="33" t="str">
        <x:v>tuning parameter; no coefficient test</x:v>
      </x:c>
    </x:row>
    <x:row r="18" ht="34" customHeight="1">
      <x:c r="A18" s="30" t="str">
        <x:v>tourism_comprehensive_income_100m_cny</x:v>
      </x:c>
      <x:c r="B18" s="30" t="str">
        <x:v>local_linear_state</x:v>
      </x:c>
      <x:c r="C18" s="30" t="str">
        <x:v>q_slope</x:v>
      </x:c>
      <x:c r="D18" s="51" t="n">
        <x:v>0.001</x:v>
      </x:c>
      <x:c r="E18" s="30" t="n">
        <x:v>0.15077314561748292</x:v>
      </x:c>
      <x:c r="F18" s="30"/>
      <x:c r="G18" s="30"/>
      <x:c r="H18" s="54"/>
      <x:c r="I18" s="51"/>
      <x:c r="J18" s="51"/>
      <x:c r="K18" s="33" t="str">
        <x:v>tuning parameter; no coefficient test</x:v>
      </x:c>
    </x:row>
    <x:row r="19" ht="34" customHeight="1">
      <x:c r="A19" s="31" t="str">
        <x:v>tourism_comprehensive_income_100m_cny</x:v>
      </x:c>
      <x:c r="B19" s="31" t="str">
        <x:v>local_linear_state</x:v>
      </x:c>
      <x:c r="C19" s="31" t="str">
        <x:v>r</x:v>
      </x:c>
      <x:c r="D19" s="52" t="n">
        <x:v>0.0005</x:v>
      </x:c>
      <x:c r="E19" s="31" t="n">
        <x:v>0.15077314561748292</x:v>
      </x:c>
      <x:c r="F19" s="31"/>
      <x:c r="G19" s="31"/>
      <x:c r="H19" s="55"/>
      <x:c r="I19" s="52"/>
      <x:c r="J19" s="52"/>
      <x:c r="K19" s="34" t="str">
        <x:v>tuning parameter; no coefficient test</x:v>
      </x:c>
    </x:row>
  </x:sheetData>
  <x:pageMargins left="0.7" right="0.7" top="0.75" bottom="0.75" header="0.3" footer="0.3"/>
  <x:tableParts count="1">
    <x:tablePart xmlns:r="http://schemas.openxmlformats.org/officeDocument/2006/relationships" r:id="Rbb4a8184141b4e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50" customHeight="1">
      <x:c r="A1" s="23" t="str">
        <x:v>metric</x:v>
      </x:c>
      <x:c r="B1" s="24" t="str">
        <x:v>model</x:v>
      </x:c>
      <x:c r="C1" s="24" t="str">
        <x:v>backtest_n</x:v>
      </x:c>
      <x:c r="D1" s="24" t="str">
        <x:v>mae</x:v>
      </x:c>
      <x:c r="E1" s="24" t="str">
        <x:v>rmse</x:v>
      </x:c>
      <x:c r="F1" s="24" t="str">
        <x:v>mape_percent</x:v>
      </x:c>
      <x:c r="G1" s="24" t="str">
        <x:v>aicc</x:v>
      </x:c>
      <x:c r="H1" s="24" t="str">
        <x:v>durbin_watson</x:v>
      </x:c>
      <x:c r="I1" s="24" t="str">
        <x:v>jarque_bera_p</x:v>
      </x:c>
      <x:c r="J1" s="25" t="str">
        <x:v>diagnostic_note</x:v>
      </x:c>
    </x:row>
    <x:row r="2" ht="38" customHeight="1">
      <x:c r="A2" s="29" t="str">
        <x:v>tourist_visits_10k_persons</x:v>
      </x:c>
      <x:c r="B2" s="29" t="str">
        <x:v>damped_holt</x:v>
      </x:c>
      <x:c r="C2" s="41" t="n">
        <x:v>5</x:v>
      </x:c>
      <x:c r="D2" s="50" t="n">
        <x:v>466.6322839002579</x:v>
      </x:c>
      <x:c r="E2" s="50" t="n">
        <x:v>859.1809857166165</x:v>
      </x:c>
      <x:c r="F2" s="29" t="n">
        <x:v>19.36563341652933</x:v>
      </x:c>
      <x:c r="G2" s="29" t="n">
        <x:v>16.816642352133847</x:v>
      </x:c>
      <x:c r="H2" s="41" t="n">
        <x:v>1.9077226704576988</x:v>
      </x:c>
      <x:c r="I2" s="29" t="n">
        <x:v>0.44316539686888834</x:v>
      </x:c>
      <x:c r="J2" s="32" t="str">
        <x:v>rolling-origin log forecast errors; low power because n=5</x:v>
      </x:c>
    </x:row>
    <x:row r="3" ht="38" customHeight="1">
      <x:c r="A3" s="30" t="str">
        <x:v>tourist_visits_10k_persons</x:v>
      </x:c>
      <x:c r="B3" s="30" t="str">
        <x:v>local_linear_state</x:v>
      </x:c>
      <x:c r="C3" s="42" t="n">
        <x:v>5</x:v>
      </x:c>
      <x:c r="D3" s="51" t="n">
        <x:v>651.2345951392905</x:v>
      </x:c>
      <x:c r="E3" s="51" t="n">
        <x:v>1109.6250077721143</x:v>
      </x:c>
      <x:c r="F3" s="30" t="n">
        <x:v>26.669613278576616</x:v>
      </x:c>
      <x:c r="G3" s="30" t="n">
        <x:v>36.86146862785851</x:v>
      </x:c>
      <x:c r="H3" s="42" t="n">
        <x:v>2.066239004692335</x:v>
      </x:c>
      <x:c r="I3" s="30" t="n">
        <x:v>0.574540486769997</x:v>
      </x:c>
      <x:c r="J3" s="33" t="str">
        <x:v>rolling-origin log forecast errors; low power because n=5</x:v>
      </x:c>
    </x:row>
    <x:row r="4" ht="38" customHeight="1">
      <x:c r="A4" s="30" t="str">
        <x:v>tourist_visits_10k_persons</x:v>
      </x:c>
      <x:c r="B4" s="30" t="str">
        <x:v>segmented</x:v>
      </x:c>
      <x:c r="C4" s="42" t="n">
        <x:v>5</x:v>
      </x:c>
      <x:c r="D4" s="51" t="n">
        <x:v>888.8381216282108</x:v>
      </x:c>
      <x:c r="E4" s="51" t="n">
        <x:v>1371.9544759079831</x:v>
      </x:c>
      <x:c r="F4" s="30" t="n">
        <x:v>35.99326500605149</x:v>
      </x:c>
      <x:c r="G4" s="30" t="n">
        <x:v>20.62168793404096</x:v>
      </x:c>
      <x:c r="H4" s="42" t="n">
        <x:v>0.8054417623844576</x:v>
      </x:c>
      <x:c r="I4" s="30" t="n">
        <x:v>0.6797442006230221</x:v>
      </x:c>
      <x:c r="J4" s="33" t="str">
        <x:v>rolling-origin log forecast errors; low power because n=5</x:v>
      </x:c>
    </x:row>
    <x:row r="5" ht="38" customHeight="1">
      <x:c r="A5" s="30" t="str">
        <x:v>tourism_comprehensive_income_100m_cny</x:v>
      </x:c>
      <x:c r="B5" s="30" t="str">
        <x:v>damped_holt</x:v>
      </x:c>
      <x:c r="C5" s="42" t="n">
        <x:v>5</x:v>
      </x:c>
      <x:c r="D5" s="51" t="n">
        <x:v>20.84831524323676</x:v>
      </x:c>
      <x:c r="E5" s="51" t="n">
        <x:v>33.93360468049024</x:v>
      </x:c>
      <x:c r="F5" s="30" t="n">
        <x:v>11.027382482362599</x:v>
      </x:c>
      <x:c r="G5" s="30" t="n">
        <x:v>11.185348299083262</x:v>
      </x:c>
      <x:c r="H5" s="42" t="n">
        <x:v>2.4260855183310324</x:v>
      </x:c>
      <x:c r="I5" s="30" t="n">
        <x:v>0.6236846671058666</x:v>
      </x:c>
      <x:c r="J5" s="33" t="str">
        <x:v>rolling-origin log forecast errors; low power because n=5</x:v>
      </x:c>
    </x:row>
    <x:row r="6" ht="38" customHeight="1">
      <x:c r="A6" s="30" t="str">
        <x:v>tourism_comprehensive_income_100m_cny</x:v>
      </x:c>
      <x:c r="B6" s="30" t="str">
        <x:v>local_linear_state</x:v>
      </x:c>
      <x:c r="C6" s="42" t="n">
        <x:v>5</x:v>
      </x:c>
      <x:c r="D6" s="51" t="n">
        <x:v>26.71789674790541</x:v>
      </x:c>
      <x:c r="E6" s="51" t="n">
        <x:v>39.91822208863073</x:v>
      </x:c>
      <x:c r="F6" s="30" t="n">
        <x:v>14.65683472073646</x:v>
      </x:c>
      <x:c r="G6" s="30" t="n">
        <x:v>30.799991851473028</x:v>
      </x:c>
      <x:c r="H6" s="42" t="n">
        <x:v>2.3933294496258135</x:v>
      </x:c>
      <x:c r="I6" s="30" t="n">
        <x:v>0.7737582327366752</x:v>
      </x:c>
      <x:c r="J6" s="33" t="str">
        <x:v>rolling-origin log forecast errors; low power because n=5</x:v>
      </x:c>
    </x:row>
    <x:row r="7" ht="38" customHeight="1">
      <x:c r="A7" s="31" t="str">
        <x:v>tourism_comprehensive_income_100m_cny</x:v>
      </x:c>
      <x:c r="B7" s="31" t="str">
        <x:v>segmented</x:v>
      </x:c>
      <x:c r="C7" s="43" t="n">
        <x:v>5</x:v>
      </x:c>
      <x:c r="D7" s="52" t="n">
        <x:v>53.351523393496635</x:v>
      </x:c>
      <x:c r="E7" s="52" t="n">
        <x:v>76.31010932734291</x:v>
      </x:c>
      <x:c r="F7" s="31" t="n">
        <x:v>28.19128884336896</x:v>
      </x:c>
      <x:c r="G7" s="31" t="n">
        <x:v>17.95663877846814</x:v>
      </x:c>
      <x:c r="H7" s="43" t="n">
        <x:v>0.7608169862914256</x:v>
      </x:c>
      <x:c r="I7" s="31" t="n">
        <x:v>0.6301715657330083</x:v>
      </x:c>
      <x:c r="J7" s="34" t="str">
        <x:v>rolling-origin log forecast errors; low power because n=5</x:v>
      </x:c>
    </x:row>
  </x:sheetData>
  <x:pageMargins left="0.7" right="0.7" top="0.75" bottom="0.75" header="0.3" footer="0.3"/>
  <x:tableParts count="1">
    <x:tablePart xmlns:r="http://schemas.openxmlformats.org/officeDocument/2006/relationships" r:id="Rb07ab19ef8084e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50" customHeight="1">
      <x:c r="A1" s="23" t="str">
        <x:v>metric</x:v>
      </x:c>
      <x:c r="B1" s="24" t="str">
        <x:v>year</x:v>
      </x:c>
      <x:c r="C1" s="24" t="str">
        <x:v>forecast</x:v>
      </x:c>
      <x:c r="D1" s="24" t="str">
        <x:v>lower_95</x:v>
      </x:c>
      <x:c r="E1" s="24" t="str">
        <x:v>upper_95</x:v>
      </x:c>
      <x:c r="F1" s="24" t="str">
        <x:v>model_weights</x:v>
      </x:c>
      <x:c r="G1" s="24" t="str">
        <x:v>draws</x:v>
      </x:c>
      <x:c r="H1" s="25" t="str">
        <x:v>seed</x:v>
      </x:c>
      <x:c r="J1" s="6" t="str">
        <x:v>year</x:v>
      </x:c>
      <x:c r="K1" s="6" t="str">
        <x:v>visitors_point</x:v>
      </x:c>
      <x:c r="L1" s="6" t="str">
        <x:v>visitors_lower</x:v>
      </x:c>
      <x:c r="M1" s="6" t="str">
        <x:v>visitors_upper</x:v>
      </x:c>
    </x:row>
    <x:row r="2" ht="42" customHeight="1">
      <x:c r="A2" s="29" t="str">
        <x:v>tourist_visits</x:v>
      </x:c>
      <x:c r="B2" s="41" t="n">
        <x:v>2026</x:v>
      </x:c>
      <x:c r="C2" s="50" t="n">
        <x:v>2830.1834618491043</x:v>
      </x:c>
      <x:c r="D2" s="50" t="n">
        <x:v>1910.919617163229</x:v>
      </x:c>
      <x:c r="E2" s="50" t="n">
        <x:v>3782.2369511948173</x:v>
      </x:c>
      <x:c r="F2" s="32" t="str">
        <x:v>damped_holt:0.4166;local_linear_state:0.3226;segmented:0.2609</x:v>
      </x:c>
      <x:c r="G2" s="41" t="n">
        <x:v>10000</x:v>
      </x:c>
      <x:c r="H2" s="41" t="n">
        <x:v>20260817</x:v>
      </x:c>
      <x:c r="J2" t="n">
        <x:f>B2</x:f>
        <x:v>2026</x:v>
      </x:c>
      <x:c r="K2" s="61" t="n">
        <x:f>C2</x:f>
        <x:v>2830.1834618491043</x:v>
      </x:c>
      <x:c r="L2" s="61" t="n">
        <x:f>D2</x:f>
        <x:v>1910.919617163229</x:v>
      </x:c>
      <x:c r="M2" s="61" t="n">
        <x:f>E2</x:f>
        <x:v>3782.2369511948173</x:v>
      </x:c>
    </x:row>
    <x:row r="3" ht="42" customHeight="1">
      <x:c r="A3" s="30" t="str">
        <x:v>tourist_visits</x:v>
      </x:c>
      <x:c r="B3" s="42" t="n">
        <x:v>2027</x:v>
      </x:c>
      <x:c r="C3" s="51" t="n">
        <x:v>2861.15936860072</x:v>
      </x:c>
      <x:c r="D3" s="51" t="n">
        <x:v>1859.4124364784102</x:v>
      </x:c>
      <x:c r="E3" s="51" t="n">
        <x:v>4295.016746170189</x:v>
      </x:c>
      <x:c r="F3" s="33" t="str">
        <x:v>damped_holt:0.4166;local_linear_state:0.3226;segmented:0.2609</x:v>
      </x:c>
      <x:c r="G3" s="42" t="n">
        <x:v>10000</x:v>
      </x:c>
      <x:c r="H3" s="42" t="n">
        <x:v>20260817</x:v>
      </x:c>
      <x:c r="J3" t="n">
        <x:f>B3</x:f>
        <x:v>2027</x:v>
      </x:c>
      <x:c r="K3" s="61" t="n">
        <x:f>C3</x:f>
        <x:v>2861.15936860072</x:v>
      </x:c>
      <x:c r="L3" s="61" t="n">
        <x:f>D3</x:f>
        <x:v>1859.4124364784102</x:v>
      </x:c>
      <x:c r="M3" s="61" t="n">
        <x:f>E3</x:f>
        <x:v>4295.016746170189</x:v>
      </x:c>
    </x:row>
    <x:row r="4" ht="42" customHeight="1">
      <x:c r="A4" s="30" t="str">
        <x:v>tourist_visits</x:v>
      </x:c>
      <x:c r="B4" s="42" t="n">
        <x:v>2028</x:v>
      </x:c>
      <x:c r="C4" s="51" t="n">
        <x:v>2874.784578894394</x:v>
      </x:c>
      <x:c r="D4" s="51" t="n">
        <x:v>1839.8221854387168</x:v>
      </x:c>
      <x:c r="E4" s="51" t="n">
        <x:v>4904.485374925612</x:v>
      </x:c>
      <x:c r="F4" s="33" t="str">
        <x:v>damped_holt:0.4166;local_linear_state:0.3226;segmented:0.2609</x:v>
      </x:c>
      <x:c r="G4" s="42" t="n">
        <x:v>10000</x:v>
      </x:c>
      <x:c r="H4" s="42" t="n">
        <x:v>20260817</x:v>
      </x:c>
      <x:c r="J4" t="n">
        <x:f>B4</x:f>
        <x:v>2028</x:v>
      </x:c>
      <x:c r="K4" s="61" t="n">
        <x:f>C4</x:f>
        <x:v>2874.784578894394</x:v>
      </x:c>
      <x:c r="L4" s="61" t="n">
        <x:f>D4</x:f>
        <x:v>1839.8221854387168</x:v>
      </x:c>
      <x:c r="M4" s="61" t="n">
        <x:f>E4</x:f>
        <x:v>4904.485374925612</x:v>
      </x:c>
    </x:row>
    <x:row r="5" ht="42" customHeight="1">
      <x:c r="A5" s="30" t="str">
        <x:v>tourist_visits</x:v>
      </x:c>
      <x:c r="B5" s="42" t="n">
        <x:v>2029</x:v>
      </x:c>
      <x:c r="C5" s="51" t="n">
        <x:v>2904.1238956372927</x:v>
      </x:c>
      <x:c r="D5" s="51" t="n">
        <x:v>1823.547382527116</x:v>
      </x:c>
      <x:c r="E5" s="51" t="n">
        <x:v>5620.3965311098855</x:v>
      </x:c>
      <x:c r="F5" s="33" t="str">
        <x:v>damped_holt:0.4166;local_linear_state:0.3226;segmented:0.2609</x:v>
      </x:c>
      <x:c r="G5" s="42" t="n">
        <x:v>10000</x:v>
      </x:c>
      <x:c r="H5" s="42" t="n">
        <x:v>20260817</x:v>
      </x:c>
      <x:c r="J5" t="n">
        <x:f>B5</x:f>
        <x:v>2029</x:v>
      </x:c>
      <x:c r="K5" s="61" t="n">
        <x:f>C5</x:f>
        <x:v>2904.1238956372927</x:v>
      </x:c>
      <x:c r="L5" s="61" t="n">
        <x:f>D5</x:f>
        <x:v>1823.547382527116</x:v>
      </x:c>
      <x:c r="M5" s="61" t="n">
        <x:f>E5</x:f>
        <x:v>5620.3965311098855</x:v>
      </x:c>
    </x:row>
    <x:row r="6" ht="42" customHeight="1">
      <x:c r="A6" s="30" t="str">
        <x:v>tourist_visits</x:v>
      </x:c>
      <x:c r="B6" s="42" t="n">
        <x:v>2030</x:v>
      </x:c>
      <x:c r="C6" s="51" t="n">
        <x:v>2910.8752915812056</x:v>
      </x:c>
      <x:c r="D6" s="51" t="n">
        <x:v>1789.4488508547922</x:v>
      </x:c>
      <x:c r="E6" s="51" t="n">
        <x:v>6429.3702170532</x:v>
      </x:c>
      <x:c r="F6" s="33" t="str">
        <x:v>damped_holt:0.4166;local_linear_state:0.3226;segmented:0.2609</x:v>
      </x:c>
      <x:c r="G6" s="42" t="n">
        <x:v>10000</x:v>
      </x:c>
      <x:c r="H6" s="42" t="n">
        <x:v>20260817</x:v>
      </x:c>
      <x:c r="J6" t="n">
        <x:f>B6</x:f>
        <x:v>2030</x:v>
      </x:c>
      <x:c r="K6" s="61" t="n">
        <x:f>C6</x:f>
        <x:v>2910.8752915812056</x:v>
      </x:c>
      <x:c r="L6" s="61" t="n">
        <x:f>D6</x:f>
        <x:v>1789.4488508547922</x:v>
      </x:c>
      <x:c r="M6" s="61" t="n">
        <x:f>E6</x:f>
        <x:v>6429.3702170532</x:v>
      </x:c>
    </x:row>
    <x:row r="7" ht="42" customHeight="1">
      <x:c r="A7" s="30" t="str">
        <x:v>tourism_comprehensive_income</x:v>
      </x:c>
      <x:c r="B7" s="42" t="n">
        <x:v>2026</x:v>
      </x:c>
      <x:c r="C7" s="51" t="n">
        <x:v>249.7224334563694</x:v>
      </x:c>
      <x:c r="D7" s="51" t="n">
        <x:v>197.36189866072561</x:v>
      </x:c>
      <x:c r="E7" s="51" t="n">
        <x:v>342.37763926739046</x:v>
      </x:c>
      <x:c r="F7" s="33" t="str">
        <x:v>damped_holt:0.4358;local_linear_state:0.3704;segmented:0.1938</x:v>
      </x:c>
      <x:c r="G7" s="42" t="n">
        <x:v>10000</x:v>
      </x:c>
      <x:c r="H7" s="42" t="n">
        <x:v>20260817</x:v>
      </x:c>
    </x:row>
    <x:row r="8" ht="42" customHeight="1">
      <x:c r="A8" s="30" t="str">
        <x:v>tourism_comprehensive_income</x:v>
      </x:c>
      <x:c r="B8" s="42" t="n">
        <x:v>2027</x:v>
      </x:c>
      <x:c r="C8" s="51" t="n">
        <x:v>262.9536140768612</x:v>
      </x:c>
      <x:c r="D8" s="51" t="n">
        <x:v>204.59154540961535</x:v>
      </x:c>
      <x:c r="E8" s="51" t="n">
        <x:v>399.6511597748233</x:v>
      </x:c>
      <x:c r="F8" s="33" t="str">
        <x:v>damped_holt:0.4358;local_linear_state:0.3704;segmented:0.1938</x:v>
      </x:c>
      <x:c r="G8" s="42" t="n">
        <x:v>10000</x:v>
      </x:c>
      <x:c r="H8" s="42" t="n">
        <x:v>20260817</x:v>
      </x:c>
    </x:row>
    <x:row r="9" ht="42" customHeight="1">
      <x:c r="A9" s="30" t="str">
        <x:v>tourism_comprehensive_income</x:v>
      </x:c>
      <x:c r="B9" s="42" t="n">
        <x:v>2028</x:v>
      </x:c>
      <x:c r="C9" s="51" t="n">
        <x:v>277.7242219837037</x:v>
      </x:c>
      <x:c r="D9" s="51" t="n">
        <x:v>210.67316470532333</x:v>
      </x:c>
      <x:c r="E9" s="51" t="n">
        <x:v>472.2144715739685</x:v>
      </x:c>
      <x:c r="F9" s="33" t="str">
        <x:v>damped_holt:0.4358;local_linear_state:0.3704;segmented:0.1938</x:v>
      </x:c>
      <x:c r="G9" s="42" t="n">
        <x:v>10000</x:v>
      </x:c>
      <x:c r="H9" s="42" t="n">
        <x:v>20260817</x:v>
      </x:c>
    </x:row>
    <x:row r="10" ht="42" customHeight="1">
      <x:c r="A10" s="30" t="str">
        <x:v>tourism_comprehensive_income</x:v>
      </x:c>
      <x:c r="B10" s="42" t="n">
        <x:v>2029</x:v>
      </x:c>
      <x:c r="C10" s="51" t="n">
        <x:v>293.4142224443659</x:v>
      </x:c>
      <x:c r="D10" s="51" t="n">
        <x:v>213.3873490265614</x:v>
      </x:c>
      <x:c r="E10" s="51" t="n">
        <x:v>559.4789902131555</x:v>
      </x:c>
      <x:c r="F10" s="33" t="str">
        <x:v>damped_holt:0.4358;local_linear_state:0.3704;segmented:0.1938</x:v>
      </x:c>
      <x:c r="G10" s="42" t="n">
        <x:v>10000</x:v>
      </x:c>
      <x:c r="H10" s="42" t="n">
        <x:v>20260817</x:v>
      </x:c>
    </x:row>
    <x:row r="11" ht="42" customHeight="1">
      <x:c r="A11" s="31" t="str">
        <x:v>tourism_comprehensive_income</x:v>
      </x:c>
      <x:c r="B11" s="43" t="n">
        <x:v>2030</x:v>
      </x:c>
      <x:c r="C11" s="52" t="n">
        <x:v>313.40038575014256</x:v>
      </x:c>
      <x:c r="D11" s="52" t="n">
        <x:v>217.68937505126007</x:v>
      </x:c>
      <x:c r="E11" s="52" t="n">
        <x:v>666.240716063134</x:v>
      </x:c>
      <x:c r="F11" s="34" t="str">
        <x:v>damped_holt:0.4358;local_linear_state:0.3704;segmented:0.1938</x:v>
      </x:c>
      <x:c r="G11" s="43" t="n">
        <x:v>10000</x:v>
      </x:c>
      <x:c r="H11" s="43" t="n">
        <x:v>20260817</x:v>
      </x:c>
    </x:row>
  </x:sheetData>
  <x:pageMargins left="0.7" right="0.7" top="0.75" bottom="0.75" header="0.3" footer="0.3"/>
  <x:drawing xmlns:r="http://schemas.openxmlformats.org/officeDocument/2006/relationships" r:id="Rba3289114f5d46d5"/>
  <x:tableParts count="1">
    <x:tablePart xmlns:r="http://schemas.openxmlformats.org/officeDocument/2006/relationships" r:id="Raadf65a254b04d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28" hidden="0" customWidth="1"/>
    <x:col min="8" max="8" width="18" hidden="0" customWidth="1"/>
    <x:col min="9" max="9" width="18" hidden="0" customWidth="1"/>
    <x:col min="11" max="11" width="24" hidden="0" customWidth="1"/>
    <x:col min="12" max="12" width="24" hidden="0" customWidth="1"/>
  </x:cols>
  <x:sheetData>
    <x:row r="1" ht="50" customHeight="1">
      <x:c r="A1" s="23" t="str">
        <x:v>factor</x:v>
      </x:c>
      <x:c r="B1" s="24" t="str">
        <x:v>direction</x:v>
      </x:c>
      <x:c r="C1" s="24" t="str">
        <x:v>change</x:v>
      </x:c>
      <x:c r="D1" s="24" t="str">
        <x:v>revenue_2030_100m</x:v>
      </x:c>
      <x:c r="E1" s="25" t="str">
        <x:v>effect_2030_100m</x:v>
      </x:c>
      <x:c r="G1" s="6" t="str">
        <x:v>factor</x:v>
      </x:c>
      <x:c r="H1" s="6" t="str">
        <x:v>spearman</x:v>
      </x:c>
      <x:c r="I1" s="6" t="str">
        <x:v>importance_share</x:v>
      </x:c>
      <x:c r="K1" s="6" t="str">
        <x:v>statistic</x:v>
      </x:c>
      <x:c r="L1" s="6" t="str">
        <x:v>revenue_2030_100m</x:v>
      </x:c>
    </x:row>
    <x:row r="2" ht="24" customHeight="1">
      <x:c r="A2" s="29" t="str">
        <x:v>source_market_growth</x:v>
      </x:c>
      <x:c r="B2" s="41" t="str">
        <x:v>low</x:v>
      </x:c>
      <x:c r="C2" s="29" t="n">
        <x:v>-0.1</x:v>
      </x:c>
      <x:c r="D2" s="50" t="n">
        <x:v>282.06034717512824</x:v>
      </x:c>
      <x:c r="E2" s="50" t="n">
        <x:v>-31.340038575014262</x:v>
      </x:c>
      <x:c r="G2" t="str">
        <x:v>one_off_external_shock</x:v>
      </x:c>
      <x:c r="H2" s="59" t="n">
        <x:v>0.557393405813934</x:v>
      </x:c>
      <x:c r="I2" s="59" t="n">
        <x:v>0.2633001086519958</x:v>
      </x:c>
      <x:c r="K2" t="str">
        <x:v>p2.5</x:v>
      </x:c>
      <x:c r="L2" s="60" t="n">
        <x:v>264.80242791549074</x:v>
      </x:c>
    </x:row>
    <x:row r="3" ht="24" customHeight="1">
      <x:c r="A3" s="30" t="str">
        <x:v>source_market_growth</x:v>
      </x:c>
      <x:c r="B3" s="42" t="str">
        <x:v>high</x:v>
      </x:c>
      <x:c r="C3" s="30" t="n">
        <x:v>0.1</x:v>
      </x:c>
      <x:c r="D3" s="51" t="n">
        <x:v>344.74042432515677</x:v>
      </x:c>
      <x:c r="E3" s="51" t="n">
        <x:v>31.340038575014262</x:v>
      </x:c>
      <x:c r="G3" t="str">
        <x:v>source_market_growth</x:v>
      </x:c>
      <x:c r="H3" s="59" t="n">
        <x:v>0.4732169256041693</x:v>
      </x:c>
      <x:c r="I3" s="59" t="n">
        <x:v>0.2235370326019498</x:v>
      </x:c>
      <x:c r="K3" t="str">
        <x:v>p25</x:v>
      </x:c>
      <x:c r="L3" s="60" t="n">
        <x:v>299.86185219386925</x:v>
      </x:c>
    </x:row>
    <x:row r="4" ht="24" customHeight="1">
      <x:c r="A4" s="30" t="str">
        <x:v>overnight_and_spend</x:v>
      </x:c>
      <x:c r="B4" s="42" t="str">
        <x:v>low</x:v>
      </x:c>
      <x:c r="C4" s="30" t="n">
        <x:v>-0.1</x:v>
      </x:c>
      <x:c r="D4" s="51" t="n">
        <x:v>282.06034717512824</x:v>
      </x:c>
      <x:c r="E4" s="51" t="n">
        <x:v>-31.340038575014262</x:v>
      </x:c>
      <x:c r="G4" t="str">
        <x:v>overnight_and_spend</x:v>
      </x:c>
      <x:c r="H4" s="59" t="n">
        <x:v>0.4617981686019817</x:v>
      </x:c>
      <x:c r="I4" s="59" t="n">
        <x:v>0.21814306861172927</x:v>
      </x:c>
      <x:c r="K4" t="str">
        <x:v>median</x:v>
      </x:c>
      <x:c r="L4" s="60" t="n">
        <x:v>319.5630874884172</x:v>
      </x:c>
    </x:row>
    <x:row r="5" ht="24" customHeight="1">
      <x:c r="A5" s="30" t="str">
        <x:v>overnight_and_spend</x:v>
      </x:c>
      <x:c r="B5" s="42" t="str">
        <x:v>high</x:v>
      </x:c>
      <x:c r="C5" s="30" t="n">
        <x:v>0.1</x:v>
      </x:c>
      <x:c r="D5" s="51" t="n">
        <x:v>344.74042432515677</x:v>
      </x:c>
      <x:c r="E5" s="51" t="n">
        <x:v>31.340038575014262</x:v>
      </x:c>
      <x:c r="G5" t="str">
        <x:v>new_business_formats</x:v>
      </x:c>
      <x:c r="H5" s="59" t="n">
        <x:v>0.3336605371806054</x:v>
      </x:c>
      <x:c r="I5" s="59" t="n">
        <x:v>0.15761373345321428</x:v>
      </x:c>
      <x:c r="K5" t="str">
        <x:v>p75</x:v>
      </x:c>
      <x:c r="L5" s="60" t="n">
        <x:v>340.0056211948008</x:v>
      </x:c>
    </x:row>
    <x:row r="6" ht="24" customHeight="1">
      <x:c r="A6" s="30" t="str">
        <x:v>policy_supply_conversion</x:v>
      </x:c>
      <x:c r="B6" s="42" t="str">
        <x:v>low</x:v>
      </x:c>
      <x:c r="C6" s="30" t="n">
        <x:v>-0.06</x:v>
      </x:c>
      <x:c r="D6" s="51" t="n">
        <x:v>276.9205808488259</x:v>
      </x:c>
      <x:c r="E6" s="51" t="n">
        <x:v>-36.479804901316584</x:v>
      </x:c>
      <x:c r="G6" t="str">
        <x:v>policy_supply_conversion</x:v>
      </x:c>
      <x:c r="H6" s="59" t="n">
        <x:v>0.29088187735681875</x:v>
      </x:c>
      <x:c r="I6" s="59" t="n">
        <x:v>0.13740605668111094</x:v>
      </x:c>
      <x:c r="K6" t="str">
        <x:v>p97.5</x:v>
      </x:c>
      <x:c r="L6" s="60" t="n">
        <x:v>379.4396488278606</x:v>
      </x:c>
    </x:row>
    <x:row r="7" ht="24" customHeight="1">
      <x:c r="A7" s="30" t="str">
        <x:v>policy_supply_conversion</x:v>
      </x:c>
      <x:c r="B7" s="42" t="str">
        <x:v>high</x:v>
      </x:c>
      <x:c r="C7" s="30" t="n">
        <x:v>0.06</x:v>
      </x:c>
      <x:c r="D7" s="51" t="n">
        <x:v>352.13667342886015</x:v>
      </x:c>
      <x:c r="E7" s="51" t="n">
        <x:v>38.736287678717645</x:v>
      </x:c>
      <x:c r="K7" t="str">
        <x:v>mean</x:v>
      </x:c>
      <x:c r="L7" s="60" t="n">
        <x:v>320.1906440112136</x:v>
      </x:c>
    </x:row>
    <x:row r="8" ht="24" customHeight="1">
      <x:c r="A8" s="30" t="str">
        <x:v>new_business_formats</x:v>
      </x:c>
      <x:c r="B8" s="42" t="str">
        <x:v>low</x:v>
      </x:c>
      <x:c r="C8" s="30" t="n">
        <x:v>-0.08</x:v>
      </x:c>
      <x:c r="D8" s="51" t="n">
        <x:v>288.3283548901311</x:v>
      </x:c>
      <x:c r="E8" s="51" t="n">
        <x:v>-25.07203086001141</x:v>
      </x:c>
    </x:row>
    <x:row r="9" ht="24" customHeight="1">
      <x:c r="A9" s="30" t="str">
        <x:v>new_business_formats</x:v>
      </x:c>
      <x:c r="B9" s="42" t="str">
        <x:v>high</x:v>
      </x:c>
      <x:c r="C9" s="30" t="n">
        <x:v>0.08</x:v>
      </x:c>
      <x:c r="D9" s="51" t="n">
        <x:v>338.4724166101539</x:v>
      </x:c>
      <x:c r="E9" s="51" t="n">
        <x:v>25.07203086001141</x:v>
      </x:c>
    </x:row>
    <x:row r="10" ht="24" customHeight="1">
      <x:c r="A10" s="30" t="str">
        <x:v>one_off_external_shock</x:v>
      </x:c>
      <x:c r="B10" s="42" t="str">
        <x:v>low</x:v>
      </x:c>
      <x:c r="C10" s="30" t="n">
        <x:v>-0.15</x:v>
      </x:c>
      <x:c r="D10" s="51" t="n">
        <x:v>226.43177870447795</x:v>
      </x:c>
      <x:c r="E10" s="51" t="n">
        <x:v>-86.96860704566456</x:v>
      </x:c>
    </x:row>
    <x:row r="11" ht="24" customHeight="1">
      <x:c r="A11" s="31" t="str">
        <x:v>one_off_external_shock</x:v>
      </x:c>
      <x:c r="B11" s="43" t="str">
        <x:v>high</x:v>
      </x:c>
      <x:c r="C11" s="31" t="n">
        <x:v>0.05</x:v>
      </x:c>
      <x:c r="D11" s="52" t="n">
        <x:v>345.52392528953214</x:v>
      </x:c>
      <x:c r="E11" s="52" t="n">
        <x:v>32.12353953938964</x:v>
      </x:c>
    </x:row>
  </x:sheetData>
  <x:pageMargins left="0.7" right="0.7" top="0.75" bottom="0.75" header="0.3" footer="0.3"/>
  <x:tableParts count="1">
    <x:tablePart xmlns:r="http://schemas.openxmlformats.org/officeDocument/2006/relationships" r:id="R3f8ea1bbd4be4b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50" customHeight="1">
      <x:c r="A1" s="23" t="str">
        <x:v>recommendation</x:v>
      </x:c>
      <x:c r="B1" s="24" t="str">
        <x:v>target_2030</x:v>
      </x:c>
      <x:c r="C1" s="24" t="str">
        <x:v>monitor</x:v>
      </x:c>
      <x:c r="D1" s="25" t="str">
        <x:v>conditional_effect</x:v>
      </x:c>
    </x:row>
    <x:row r="2" ht="56" customHeight="1">
      <x:c r="A2" s="47" t="str">
        <x:v>京津冀核心客源精细化运营</x:v>
      </x:c>
      <x:c r="B2" s="32" t="str">
        <x:v>外埠重点客源转化率较基准提高10%</x:v>
      </x:c>
      <x:c r="C2" s="32" t="str">
        <x:v>外省游客占比、复游率</x:v>
      </x:c>
      <x:c r="D2" s="56" t="str">
        <x:v>2030收入约增加10%</x:v>
      </x:c>
    </x:row>
    <x:row r="3" ht="56" customHeight="1">
      <x:c r="A3" s="48" t="str">
        <x:v>提升过夜率和单位游客消费</x:v>
      </x:c>
      <x:c r="B3" s="33" t="str">
        <x:v>单位游客消费达到1184元/人次</x:v>
      </x:c>
      <x:c r="C3" s="33" t="str">
        <x:v>过夜率、平均停留天数、客单价</x:v>
      </x:c>
      <x:c r="D3" s="57" t="str">
        <x:v>2030收入约增加10%</x:v>
      </x:c>
    </x:row>
    <x:row r="4" ht="56" customHeight="1">
      <x:c r="A4" s="48" t="str">
        <x:v>全季产品与新业态扩容</x:v>
      </x:c>
      <x:c r="B4" s="33" t="str">
        <x:v>淡季客流占比提高8个百分点</x:v>
      </x:c>
      <x:c r="C4" s="33" t="str">
        <x:v>淡季客流、夜间消费、新业态收入</x:v>
      </x:c>
      <x:c r="D4" s="57" t="str">
        <x:v>2030收入约增加6%—8%</x:v>
      </x:c>
    </x:row>
    <x:row r="5" ht="56" customHeight="1">
      <x:c r="A5" s="48" t="str">
        <x:v>政策项目绩效闭环</x:v>
      </x:c>
      <x:c r="B5" s="33" t="str">
        <x:v>新增项目全部建立投入—客流—消费台账</x:v>
      </x:c>
      <x:c r="C5" s="33" t="str">
        <x:v>项目达产率、单位财政资金增量收入</x:v>
      </x:c>
      <x:c r="D5" s="57" t="str">
        <x:v>降低政策转化不确定性约6%</x:v>
      </x:c>
    </x:row>
    <x:row r="6" ht="56" customHeight="1">
      <x:c r="A6" s="49" t="str">
        <x:v>建立旅游风险预警机制</x:v>
      </x:c>
      <x:c r="B6" s="34" t="str">
        <x:v>月度客流偏离基准10%时自动触发预案</x:v>
      </x:c>
      <x:c r="C6" s="34" t="str">
        <x:v>客流偏离、退订率、极端天气</x:v>
      </x:c>
      <x:c r="D6" s="58" t="str">
        <x:v>将一次性冲击收入损失控制在15%以内</x:v>
      </x:c>
    </x:row>
  </x:sheetData>
  <x:pageMargins left="0.7" right="0.7" top="0.75" bottom="0.75" header="0.3" footer="0.3"/>
  <x:tableParts count="1">
    <x:tablePart xmlns:r="http://schemas.openxmlformats.org/officeDocument/2006/relationships" r:id="Rb2c3088d71f341b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50" customHeight="1">
      <x:c r="A1" s="23" t="str">
        <x:v>source_id</x:v>
      </x:c>
      <x:c r="B1" s="24" t="str">
        <x:v>topic</x:v>
      </x:c>
      <x:c r="C1" s="24" t="str">
        <x:v>source_label</x:v>
      </x:c>
      <x:c r="D1" s="24" t="str">
        <x:v>url</x:v>
      </x:c>
      <x:c r="E1" s="24" t="str">
        <x:v>expected_local_path</x:v>
      </x:c>
      <x:c r="F1" s="24" t="str">
        <x:v>status</x:v>
      </x:c>
      <x:c r="G1" s="25" t="str">
        <x:v>notes</x:v>
      </x:c>
    </x:row>
    <x:row r="2" ht="42" customHeight="1">
      <x:c r="A2" s="32" t="str">
        <x:v>tj_2025_bulletin</x:v>
      </x:c>
      <x:c r="B2" s="32" t="str">
        <x:v>天津市统计数据</x:v>
      </x:c>
      <x:c r="C2" s="32" t="str">
        <x:v>2025年统计公报</x:v>
      </x:c>
      <x:c r="D2" s="32" t="str">
        <x:v>https://www.tjjz.gov.cn/zwgk/sjfb/tjgb/202606/t20260629_7325623.html</x:v>
      </x:c>
      <x:c r="E2" s="32" t="str">
        <x:v>data/raw/tj_2025_bulletin_browser.txt</x:v>
      </x:c>
      <x:c r="F2" s="32" t="str">
        <x:v>downloaded_via_chrome_text</x:v>
      </x:c>
      <x:c r="G2" s="32" t="str">
        <x:v>官方页面正文快照；原始HTML因命令行DNS不可用未保存</x:v>
      </x:c>
      <x:c r="H2" s="11"/>
      <x:c r="I2" s="11"/>
    </x:row>
    <x:row r="3" ht="42" customHeight="1">
      <x:c r="A3" s="33" t="str">
        <x:v>tj_2024_yearbook</x:v>
      </x:c>
      <x:c r="B3" s="33" t="str">
        <x:v>天津市统计数据</x:v>
      </x:c>
      <x:c r="C3" s="33" t="str">
        <x:v>2024年统计年鉴</x:v>
      </x:c>
      <x:c r="D3" s="33" t="str">
        <x:v>https://www.tjjz.gov.cn/zwgk/sjfb/tjnb/202511/t20251126_7185954.html</x:v>
      </x:c>
      <x:c r="E3" s="33" t="str">
        <x:v>data/raw/tj_2024_yearbook_browser.txt</x:v>
      </x:c>
      <x:c r="F3" s="33" t="str">
        <x:v>downloaded_via_chrome_text</x:v>
      </x:c>
      <x:c r="G3" s="33" t="str">
        <x:v>官方页面正文快照；原始HTML因命令行DNS不可用未保存</x:v>
      </x:c>
      <x:c r="H3" s="11"/>
      <x:c r="I3" s="11"/>
    </x:row>
    <x:row r="4" ht="42" customHeight="1">
      <x:c r="A4" s="33" t="str">
        <x:v>tj_historical_data</x:v>
      </x:c>
      <x:c r="B4" s="33" t="str">
        <x:v>天津市统计数据</x:v>
      </x:c>
      <x:c r="C4" s="33" t="str">
        <x:v>历年数据</x:v>
      </x:c>
      <x:c r="D4" s="33" t="str">
        <x:v>https://www.tjjz.gov.cn/zwgk/sjfb/</x:v>
      </x:c>
      <x:c r="E4" s="33" t="str">
        <x:v>data/raw/tj_historical_index_browser.txt</x:v>
      </x:c>
      <x:c r="F4" s="33" t="str">
        <x:v>downloaded_via_chrome_text</x:v>
      </x:c>
      <x:c r="G4" s="33" t="str">
        <x:v>官方数据发布页正文快照</x:v>
      </x:c>
      <x:c r="H4" s="11"/>
      <x:c r="I4" s="11"/>
    </x:row>
    <x:row r="5" ht="42" customHeight="1">
      <x:c r="A5" s="33" t="str">
        <x:v>tj_2024_monthly</x:v>
      </x:c>
      <x:c r="B5" s="33" t="str">
        <x:v>天津市统计数据</x:v>
      </x:c>
      <x:c r="C5" s="33" t="str">
        <x:v>2024年1月至12月数据</x:v>
      </x:c>
      <x:c r="D5" s="33" t="str">
        <x:v>https://www.tjjz.gov.cn/zwgk/sjfb/tjyb/202501/t20250123_6842681.html</x:v>
      </x:c>
      <x:c r="E5" s="33" t="str">
        <x:v>data/raw/tj_2024_monthly_browser.txt</x:v>
      </x:c>
      <x:c r="F5" s="33" t="str">
        <x:v>downloaded_via_chrome_text</x:v>
      </x:c>
      <x:c r="G5" s="33" t="str">
        <x:v>官方页面正文快照，含指标表</x:v>
      </x:c>
      <x:c r="H5" s="11"/>
      <x:c r="I5" s="11"/>
    </x:row>
    <x:row r="6" ht="42" customHeight="1">
      <x:c r="A6" s="33" t="str">
        <x:v>tj_tourism_search</x:v>
      </x:c>
      <x:c r="B6" s="33" t="str">
        <x:v>蓟州区旅游数据</x:v>
      </x:c>
      <x:c r="C6" s="33" t="str">
        <x:v>站内检索：旅游接待人次</x:v>
      </x:c>
      <x:c r="D6" s="33" t="str">
        <x:v>https://www.tjjz.gov.cn/searchsite/tjsjzqrmzf/search.html?siteId=87&amp;searchWord=%E6%97%85%E6%B8%B8%E6%8E%A5%E5%BE%85%E4%BA%BA%E6%AC%A1</x:v>
      </x:c>
      <x:c r="E6" s="33" t="str">
        <x:v>data/raw/tj_tourism_search_browser.txt</x:v>
      </x:c>
      <x:c r="F6" s="33" t="str">
        <x:v>downloaded_via_chrome_text</x:v>
      </x:c>
      <x:c r="G6" s="33" t="str">
        <x:v>检索结果包含2011—2017年部分旅游接待人次和旅游收入历史记录</x:v>
      </x:c>
      <x:c r="H6" s="11"/>
      <x:c r="I6" s="11"/>
    </x:row>
    <x:row r="7" ht="42" customHeight="1">
      <x:c r="A7" s="33" t="str">
        <x:v>gov_jz_data_index</x:v>
      </x:c>
      <x:c r="B7" s="33" t="str">
        <x:v>蓟州区政府数据</x:v>
      </x:c>
      <x:c r="C7" s="33" t="str">
        <x:v>数据发布总入口</x:v>
      </x:c>
      <x:c r="D7" s="33" t="str">
        <x:v>https://www.tjjz.gov.cn/zwgk/sjfb/</x:v>
      </x:c>
      <x:c r="E7" s="33" t="str">
        <x:v>data/raw/government/data_release_index.html</x:v>
      </x:c>
      <x:c r="F7" s="33" t="str">
        <x:v>downloaded_html</x:v>
      </x:c>
      <x:c r="G7" s="33" t="str">
        <x:v>accessed=2026-08-17;官方HTML原件</x:v>
      </x:c>
      <x:c r="H7" s="11"/>
      <x:c r="I7" s="11"/>
    </x:row>
    <x:row r="8" ht="42" customHeight="1">
      <x:c r="A8" s="33" t="str">
        <x:v>gov_jz_report_2011</x:v>
      </x:c>
      <x:c r="B8" s="33" t="str">
        <x:v>蓟州区政府工作报告</x:v>
      </x:c>
      <x:c r="C8" s="33" t="str">
        <x:v>2011年政府工作报告</x:v>
      </x:c>
      <x:c r="D8" s="33" t="str">
        <x:v>https://www.tjjz.gov.cn/zwgk/ZFGZBG_20201207/202012/t20201227_5202964.html</x:v>
      </x:c>
      <x:c r="E8" s="33" t="str">
        <x:v>data/raw/government/government_report_2011.html</x:v>
      </x:c>
      <x:c r="F8" s="33" t="str">
        <x:v>downloaded_html</x:v>
      </x:c>
      <x:c r="G8" s="33" t="str">
        <x:v>accessed=2026-08-17;含2010游客约数</x:v>
      </x:c>
      <x:c r="H8" s="11"/>
      <x:c r="I8" s="11"/>
    </x:row>
    <x:row r="9" ht="42" customHeight="1">
      <x:c r="A9" s="33" t="str">
        <x:v>gov_jz_report_2013</x:v>
      </x:c>
      <x:c r="B9" s="33" t="str">
        <x:v>蓟州区政府工作报告</x:v>
      </x:c>
      <x:c r="C9" s="33" t="str">
        <x:v>2013年政府工作报告（2012年回顾）</x:v>
      </x:c>
      <x:c r="D9" s="33" t="str">
        <x:v>https://www.tjjz.gov.cn/zwgk/ZFGZBG_20201207/202012/t20201227_5202990.html</x:v>
      </x:c>
      <x:c r="E9" s="33" t="str">
        <x:v>data/raw/government/government_report_2012.html</x:v>
      </x:c>
      <x:c r="F9" s="33" t="str">
        <x:v>downloaded_html</x:v>
      </x:c>
      <x:c r="G9" s="33" t="str">
        <x:v>accessed=2026-08-17;本地文件名按回顾年份命名</x:v>
      </x:c>
      <x:c r="H9" s="11"/>
      <x:c r="I9" s="11"/>
    </x:row>
    <x:row r="10" ht="42" customHeight="1">
      <x:c r="A10" s="33" t="str">
        <x:v>gov_jz_report_2015</x:v>
      </x:c>
      <x:c r="B10" s="33" t="str">
        <x:v>蓟州区政府工作报告</x:v>
      </x:c>
      <x:c r="C10" s="33" t="str">
        <x:v>2015年政府工作报告</x:v>
      </x:c>
      <x:c r="D10" s="33" t="str">
        <x:v>https://www.tjjz.gov.cn/zwgk/ZFGZBG_20201207/202012/t20201227_5203044.html</x:v>
      </x:c>
      <x:c r="E10" s="33" t="str">
        <x:v>data/raw/government/government_report_2015.html</x:v>
      </x:c>
      <x:c r="F10" s="33" t="str">
        <x:v>downloaded_html</x:v>
      </x:c>
      <x:c r="G10" s="33" t="str">
        <x:v>accessed=2026-08-17;含2014游客与综合收入</x:v>
      </x:c>
      <x:c r="H10" s="11"/>
      <x:c r="I10" s="11"/>
    </x:row>
    <x:row r="11" ht="42" customHeight="1">
      <x:c r="A11" s="33" t="str">
        <x:v>gov_jz_report_2016</x:v>
      </x:c>
      <x:c r="B11" s="33" t="str">
        <x:v>蓟州区政府工作报告</x:v>
      </x:c>
      <x:c r="C11" s="33" t="str">
        <x:v>2016年政府工作报告</x:v>
      </x:c>
      <x:c r="D11" s="33" t="str">
        <x:v>https://www.tjjz.gov.cn/zwgk/ZFGZBG_20201207/202012/t20201227_5203179.html</x:v>
      </x:c>
      <x:c r="E11" s="33" t="str">
        <x:v>data/raw/government/government_report_2016.html</x:v>
      </x:c>
      <x:c r="F11" s="33" t="str">
        <x:v>downloaded_html</x:v>
      </x:c>
      <x:c r="G11" s="33" t="str">
        <x:v>accessed=2026-08-17;含十二五回顾</x:v>
      </x:c>
      <x:c r="H11" s="11"/>
      <x:c r="I11" s="11"/>
    </x:row>
    <x:row r="12" ht="42" customHeight="1">
      <x:c r="A12" s="33" t="str">
        <x:v>gov_jz_report_2017</x:v>
      </x:c>
      <x:c r="B12" s="33" t="str">
        <x:v>蓟州区政府工作报告</x:v>
      </x:c>
      <x:c r="C12" s="33" t="str">
        <x:v>2017年政府工作报告</x:v>
      </x:c>
      <x:c r="D12" s="33" t="str">
        <x:v>https://www.tjjz.gov.cn/zwgk/ZFGZBG_20201207/202012/t20201227_5203145.html</x:v>
      </x:c>
      <x:c r="E12" s="33" t="str">
        <x:v>data/raw/government/government_report_2017.html</x:v>
      </x:c>
      <x:c r="F12" s="33" t="str">
        <x:v>downloaded_html</x:v>
      </x:c>
      <x:c r="G12" s="33" t="str">
        <x:v>accessed=2026-08-17;含2016宏观预计值</x:v>
      </x:c>
      <x:c r="H12" s="11"/>
      <x:c r="I12" s="11"/>
    </x:row>
    <x:row r="13" ht="42" customHeight="1">
      <x:c r="A13" s="33" t="str">
        <x:v>gov_jz_report_2018</x:v>
      </x:c>
      <x:c r="B13" s="33" t="str">
        <x:v>蓟州区政府工作报告</x:v>
      </x:c>
      <x:c r="C13" s="33" t="str">
        <x:v>2018年政府工作报告</x:v>
      </x:c>
      <x:c r="D13" s="33" t="str">
        <x:v>https://www.tjjz.gov.cn/zwgk/ZFGZBG_20201207/202012/t20201227_5203142.html</x:v>
      </x:c>
      <x:c r="E13" s="33" t="str">
        <x:v>data/raw/government/government_report_2018.html</x:v>
      </x:c>
      <x:c r="F13" s="33" t="str">
        <x:v>downloaded_html</x:v>
      </x:c>
      <x:c r="G13" s="33" t="str">
        <x:v>accessed=2026-08-17;含2017旅游实际</x:v>
      </x:c>
      <x:c r="H13" s="11"/>
      <x:c r="I13" s="11"/>
    </x:row>
    <x:row r="14" ht="42" customHeight="1">
      <x:c r="A14" s="33" t="str">
        <x:v>gov_jz_report_2019</x:v>
      </x:c>
      <x:c r="B14" s="33" t="str">
        <x:v>蓟州区政府工作报告</x:v>
      </x:c>
      <x:c r="C14" s="33" t="str">
        <x:v>2019年政府工作报告</x:v>
      </x:c>
      <x:c r="D14" s="33" t="str">
        <x:v>https://www.tjjz.gov.cn/zwgk/ZFGZBG_20201207/202012/t20201227_5203369.html</x:v>
      </x:c>
      <x:c r="E14" s="33" t="str">
        <x:v>data/raw/government/government_report_2019.html</x:v>
      </x:c>
      <x:c r="F14" s="33" t="str">
        <x:v>downloaded_html</x:v>
      </x:c>
      <x:c r="G14" s="33" t="str">
        <x:v>accessed=2026-08-17;含2018旅游实际</x:v>
      </x:c>
      <x:c r="H14" s="11"/>
      <x:c r="I14" s="11"/>
    </x:row>
    <x:row r="15" ht="42" customHeight="1">
      <x:c r="A15" s="33" t="str">
        <x:v>gov_jz_report_2020</x:v>
      </x:c>
      <x:c r="B15" s="33" t="str">
        <x:v>蓟州区政府工作报告</x:v>
      </x:c>
      <x:c r="C15" s="33" t="str">
        <x:v>2020年政府工作报告</x:v>
      </x:c>
      <x:c r="D15" s="33" t="str">
        <x:v>https://www.tjjz.gov.cn/zwgk/ZFGZBG_20201207/202012/t20201227_5203431.html</x:v>
      </x:c>
      <x:c r="E15" s="33" t="str">
        <x:v>data/raw/government/government_report_2020.html</x:v>
      </x:c>
      <x:c r="F15" s="33" t="str">
        <x:v>downloaded_html</x:v>
      </x:c>
      <x:c r="G15" s="33" t="str">
        <x:v>accessed=2026-08-17;含2019旅游实际</x:v>
      </x:c>
      <x:c r="H15" s="11"/>
      <x:c r="I15" s="11"/>
    </x:row>
    <x:row r="16" ht="42" customHeight="1">
      <x:c r="A16" s="33" t="str">
        <x:v>gov_jz_report_2021</x:v>
      </x:c>
      <x:c r="B16" s="33" t="str">
        <x:v>蓟州区政府工作报告</x:v>
      </x:c>
      <x:c r="C16" s="33" t="str">
        <x:v>2021年政府工作报告</x:v>
      </x:c>
      <x:c r="D16" s="33" t="str">
        <x:v>https://www.tjjz.gov.cn/zwgk/ZFGZBG_20201207/202101/t20210121_5331746.html</x:v>
      </x:c>
      <x:c r="E16" s="33" t="str">
        <x:v>data/raw/government/government_report_2021.html</x:v>
      </x:c>
      <x:c r="F16" s="33" t="str">
        <x:v>downloaded_html</x:v>
      </x:c>
      <x:c r="G16" s="33" t="str">
        <x:v>accessed=2026-08-17;疫情期政策与预计值</x:v>
      </x:c>
      <x:c r="H16" s="11"/>
      <x:c r="I16" s="11"/>
    </x:row>
    <x:row r="17" ht="42" customHeight="1">
      <x:c r="A17" s="33" t="str">
        <x:v>gov_jz_report_2022</x:v>
      </x:c>
      <x:c r="B17" s="33" t="str">
        <x:v>蓟州区政府工作报告</x:v>
      </x:c>
      <x:c r="C17" s="33" t="str">
        <x:v>2022年政府工作报告</x:v>
      </x:c>
      <x:c r="D17" s="33" t="str">
        <x:v>https://www.tjjz.gov.cn/zwgk/ZFGZBG_20201207/202112/t20211227_5762428.html</x:v>
      </x:c>
      <x:c r="E17" s="33" t="str">
        <x:v>data/raw/government/government_report_2022.html</x:v>
      </x:c>
      <x:c r="F17" s="33" t="str">
        <x:v>downloaded_html</x:v>
      </x:c>
      <x:c r="G17" s="33" t="str">
        <x:v>accessed=2026-08-17;含2021综合收入</x:v>
      </x:c>
      <x:c r="H17" s="11"/>
      <x:c r="I17" s="11"/>
    </x:row>
    <x:row r="18" ht="42" customHeight="1">
      <x:c r="A18" s="33" t="str">
        <x:v>gov_jz_report_2023</x:v>
      </x:c>
      <x:c r="B18" s="33" t="str">
        <x:v>蓟州区政府工作报告</x:v>
      </x:c>
      <x:c r="C18" s="33" t="str">
        <x:v>2023年政府工作报告</x:v>
      </x:c>
      <x:c r="D18" s="33" t="str">
        <x:v>https://www.tjjz.gov.cn/zwgk/ZFGZBG_20201207/202301/t20230106_6070587.html</x:v>
      </x:c>
      <x:c r="E18" s="33" t="str">
        <x:v>data/raw/government/government_report_2023.html</x:v>
      </x:c>
      <x:c r="F18" s="33" t="str">
        <x:v>downloaded_html</x:v>
      </x:c>
      <x:c r="G18" s="33" t="str">
        <x:v>accessed=2026-08-17;含2023目标非2022实际</x:v>
      </x:c>
      <x:c r="H18" s="11"/>
      <x:c r="I18" s="11"/>
    </x:row>
    <x:row r="19" ht="42" customHeight="1">
      <x:c r="A19" s="33" t="str">
        <x:v>gov_jz_report_2024</x:v>
      </x:c>
      <x:c r="B19" s="33" t="str">
        <x:v>蓟州区政府工作报告</x:v>
      </x:c>
      <x:c r="C19" s="33" t="str">
        <x:v>2024年政府工作报告</x:v>
      </x:c>
      <x:c r="D19" s="33" t="str">
        <x:v>https://www.tjjz.gov.cn/zwgk/ZFGZBG_20201207/202401/t20240130_6524881.html</x:v>
      </x:c>
      <x:c r="E19" s="33" t="str">
        <x:v>data/raw/government/government_report_2024.html</x:v>
      </x:c>
      <x:c r="F19" s="33" t="str">
        <x:v>downloaded_html</x:v>
      </x:c>
      <x:c r="G19" s="33" t="str">
        <x:v>accessed=2026-08-17;含2023旅游实际</x:v>
      </x:c>
      <x:c r="H19" s="11"/>
      <x:c r="I19" s="11"/>
    </x:row>
    <x:row r="20" ht="42" customHeight="1">
      <x:c r="A20" s="33" t="str">
        <x:v>gov_jz_report_2025</x:v>
      </x:c>
      <x:c r="B20" s="33" t="str">
        <x:v>蓟州区政府工作报告</x:v>
      </x:c>
      <x:c r="C20" s="33" t="str">
        <x:v>2025年政府工作报告</x:v>
      </x:c>
      <x:c r="D20" s="33" t="str">
        <x:v>https://www.tjjz.gov.cn/zwgk/ZFGZBG_20201207/202501/t20250114_6833334.html</x:v>
      </x:c>
      <x:c r="E20" s="33" t="str">
        <x:v>data/raw/government/government_report_2025.html</x:v>
      </x:c>
      <x:c r="F20" s="33" t="str">
        <x:v>downloaded_html</x:v>
      </x:c>
      <x:c r="G20" s="33" t="str">
        <x:v>accessed=2026-08-17;含2024实际及2025目标</x:v>
      </x:c>
      <x:c r="H20" s="11"/>
      <x:c r="I20" s="11"/>
    </x:row>
    <x:row r="21" ht="42" customHeight="1">
      <x:c r="A21" s="33" t="str">
        <x:v>gov_jz_report_2026</x:v>
      </x:c>
      <x:c r="B21" s="33" t="str">
        <x:v>蓟州区政府工作报告</x:v>
      </x:c>
      <x:c r="C21" s="33" t="str">
        <x:v>2026年政府工作报告</x:v>
      </x:c>
      <x:c r="D21" s="33" t="str">
        <x:v>https://www.tjjz.gov.cn/zwgk/ZFGZBG_20201207/202601/t20260121_7228239.html</x:v>
      </x:c>
      <x:c r="E21" s="33" t="str">
        <x:v>data/raw/government/government_report_2026.html</x:v>
      </x:c>
      <x:c r="F21" s="33" t="str">
        <x:v>downloaded_html</x:v>
      </x:c>
      <x:c r="G21" s="33" t="str">
        <x:v>accessed=2026-08-17;含2021—2025旅游累计值</x:v>
      </x:c>
      <x:c r="H21" s="11"/>
      <x:c r="I21" s="11"/>
    </x:row>
    <x:row r="22" ht="42" customHeight="1">
      <x:c r="A22" s="33" t="str">
        <x:v>gov_jz_bulletin_2011</x:v>
      </x:c>
      <x:c r="B22" s="33" t="str">
        <x:v>蓟州区统计公报</x:v>
      </x:c>
      <x:c r="C22" s="33" t="str">
        <x:v>2011年蓟县国民经济和社会发展统计公报</x:v>
      </x:c>
      <x:c r="D22" s="33" t="str">
        <x:v>https://www.tjjz.gov.cn/zwgk/zfxxgkqjjg/tjj1/fdzdgknr34/tjxx34/202012/t20201227_5212509.html</x:v>
      </x:c>
      <x:c r="E22" s="33" t="str">
        <x:v>data/raw/government/statistical_summary_2011.html</x:v>
      </x:c>
      <x:c r="F22" s="33" t="str">
        <x:v>downloaded_html</x:v>
      </x:c>
      <x:c r="G22" s="33" t="str">
        <x:v>accessed=2026-08-17;含游客和直接/综合收入</x:v>
      </x:c>
      <x:c r="H22" s="11"/>
      <x:c r="I22" s="11"/>
    </x:row>
    <x:row r="23" ht="42" customHeight="1">
      <x:c r="A23" s="33" t="str">
        <x:v>gov_jz_bulletin_2014</x:v>
      </x:c>
      <x:c r="B23" s="33" t="str">
        <x:v>蓟州区统计公报</x:v>
      </x:c>
      <x:c r="C23" s="33" t="str">
        <x:v>2014年蓟县国民经济和社会发展统计公报</x:v>
      </x:c>
      <x:c r="D23" s="33" t="str">
        <x:v>https://www.tjjz.gov.cn/zwgk/zfxxgkqjjg/tjj1/fdzdgknr34/tjxx34/202012/t20201227_5212510.html</x:v>
      </x:c>
      <x:c r="E23" s="33" t="str">
        <x:v>data/raw/government/tourism_statistics_2011.html</x:v>
      </x:c>
      <x:c r="F23" s="33" t="str">
        <x:v>downloaded_html</x:v>
      </x:c>
      <x:c r="G23" s="33" t="str">
        <x:v>accessed=2026-08-17;本地旧文件名不代表年份</x:v>
      </x:c>
      <x:c r="H23" s="11"/>
      <x:c r="I23" s="11"/>
    </x:row>
    <x:row r="24" ht="42" customHeight="1">
      <x:c r="A24" s="33" t="str">
        <x:v>gov_jz_tourism_stats_2014</x:v>
      </x:c>
      <x:c r="B24" s="33" t="str">
        <x:v>蓟州区旅游统计</x:v>
      </x:c>
      <x:c r="C24" s="33" t="str">
        <x:v>2014年商业外贸固投旅游</x:v>
      </x:c>
      <x:c r="D24" s="33" t="str">
        <x:v>https://www.tjjz.gov.cn/zwgk/zfxxgkqjjg/tjj1/fdzdgknr34/tjxx34/202012/t20201227_5212306.html</x:v>
      </x:c>
      <x:c r="E24" s="33" t="str">
        <x:v>data/raw/government/tourism_statistics_2014.html</x:v>
      </x:c>
      <x:c r="F24" s="33" t="str">
        <x:v>downloaded_html</x:v>
      </x:c>
      <x:c r="G24" s="33" t="str">
        <x:v>accessed=2026-08-17;直接收入单位万元</x:v>
      </x:c>
      <x:c r="H24" s="11"/>
      <x:c r="I24" s="11"/>
    </x:row>
    <x:row r="25" ht="42" customHeight="1">
      <x:c r="A25" s="33" t="str">
        <x:v>gov_jz_tourism_stats_2015</x:v>
      </x:c>
      <x:c r="B25" s="33" t="str">
        <x:v>蓟州区旅游统计</x:v>
      </x:c>
      <x:c r="C25" s="33" t="str">
        <x:v>2015年4季度商业外贸建筑业固投旅游</x:v>
      </x:c>
      <x:c r="D25" s="33" t="str">
        <x:v>https://www.tjjz.gov.cn/zwgk/zfxxgkqjjg/tjj1/fdzdgknr34/tjxx34/202012/t20201227_5212477.html</x:v>
      </x:c>
      <x:c r="E25" s="33" t="str">
        <x:v>data/raw/government/tourism_statistics_2015.html</x:v>
      </x:c>
      <x:c r="F25" s="33" t="str">
        <x:v>downloaded_html</x:v>
      </x:c>
      <x:c r="G25" s="33" t="str">
        <x:v>accessed=2026-08-17;含2014修订值</x:v>
      </x:c>
      <x:c r="H25" s="11"/>
      <x:c r="I25" s="11"/>
    </x:row>
    <x:row r="26" ht="42" customHeight="1">
      <x:c r="A26" s="33" t="str">
        <x:v>gov_jz_tourism_stats_2016</x:v>
      </x:c>
      <x:c r="B26" s="33" t="str">
        <x:v>蓟州区旅游统计</x:v>
      </x:c>
      <x:c r="C26" s="33" t="str">
        <x:v>2016年商业外贸建筑业固投旅游居民生活</x:v>
      </x:c>
      <x:c r="D26" s="33" t="str">
        <x:v>https://www.tjjz.gov.cn/zwgk/zfxxgkqjjg/tjj1/fdzdgknr34/tjxx34/202012/t20201227_5212519.html</x:v>
      </x:c>
      <x:c r="E26" s="33" t="str">
        <x:v>data/raw/government/tourism_statistics_2016.html</x:v>
      </x:c>
      <x:c r="F26" s="33" t="str">
        <x:v>downloaded_html</x:v>
      </x:c>
      <x:c r="G26" s="33" t="str">
        <x:v>accessed=2026-08-17;含2015修订值</x:v>
      </x:c>
      <x:c r="H26" s="11"/>
      <x:c r="I26" s="11"/>
    </x:row>
    <x:row r="27" ht="42" customHeight="1">
      <x:c r="A27" s="33" t="str">
        <x:v>gov_jz_tourism_stats_2017</x:v>
      </x:c>
      <x:c r="B27" s="33" t="str">
        <x:v>蓟州区旅游统计</x:v>
      </x:c>
      <x:c r="C27" s="33" t="str">
        <x:v>2017年4季度商业外贸建筑业固投旅游居民生活</x:v>
      </x:c>
      <x:c r="D27" s="33" t="str">
        <x:v>https://www.tjjz.gov.cn/zwgk/zfxxgkqjjg/tjj1/fdzdgknr34/tjxx34/202012/t20201227_5212503.html</x:v>
      </x:c>
      <x:c r="E27" s="33" t="str">
        <x:v>data/raw/government/tourism_statistics_2017.html</x:v>
      </x:c>
      <x:c r="F27" s="33" t="str">
        <x:v>downloaded_html</x:v>
      </x:c>
      <x:c r="G27" s="33" t="str">
        <x:v>accessed=2026-08-17;含2016修订值</x:v>
      </x:c>
      <x:c r="H27" s="11"/>
      <x:c r="I27" s="11"/>
    </x:row>
    <x:row r="28" ht="42" customHeight="1">
      <x:c r="A28" s="33" t="str">
        <x:v>gov_jz_tourism_summary_2013</x:v>
      </x:c>
      <x:c r="B28" s="33" t="str">
        <x:v>蓟州区旅游统计</x:v>
      </x:c>
      <x:c r="C28" s="33" t="str">
        <x:v>2013年旅游工作总结</x:v>
      </x:c>
      <x:c r="D28" s="33" t="str">
        <x:v>https://www.tjjz.gov.cn/zwgk/zcwj/qjwj/qjjg/whhlyj2/202012/t20201227_5212681.html</x:v>
      </x:c>
      <x:c r="E28" s="33" t="str">
        <x:v>data/raw/government/historical_official_cache_evidence.md</x:v>
      </x:c>
      <x:c r="F28" s="33" t="str">
        <x:v>indexed_official_page_removed</x:v>
      </x:c>
      <x:c r="G28" s="33" t="str">
        <x:v>accessed=2026-08-17;Chrome确认页面已撤稿；保存最小证据记录</x:v>
      </x:c>
      <x:c r="H28" s="11"/>
      <x:c r="I28" s="11"/>
    </x:row>
    <x:row r="29" ht="42" customHeight="1">
      <x:c r="A29" s="33" t="str">
        <x:v>gov_jz_tourism_attachment_2015</x:v>
      </x:c>
      <x:c r="B29" s="33" t="str">
        <x:v>蓟州区旅游统计</x:v>
      </x:c>
      <x:c r="C29" s="33" t="str">
        <x:v>2015年旅游数据政府站辅助附件</x:v>
      </x:c>
      <x:c r="D29" s="33" t="str">
        <x:v>https://www.tjjz.gov.cn/xwzx/GSGG20201207/202012/W020201226537834083333.pdf</x:v>
      </x:c>
      <x:c r="E29" s="33" t="str">
        <x:v>data/raw/government/historical_official_cache_evidence.md</x:v>
      </x:c>
      <x:c r="F29" s="33" t="str">
        <x:v>indexed_official_attachment_unavailable</x:v>
      </x:c>
      <x:c r="G29" s="33" t="str">
        <x:v>accessed=2026-08-17;附件当前不可直取；证据等级3</x:v>
      </x:c>
      <x:c r="H29" s="11"/>
      <x:c r="I29" s="11"/>
    </x:row>
    <x:row r="30" ht="42" customHeight="1">
      <x:c r="A30" s="33" t="str">
        <x:v>gov_jz_bulletin_2019</x:v>
      </x:c>
      <x:c r="B30" s="33" t="str">
        <x:v>蓟州区统计公报</x:v>
      </x:c>
      <x:c r="C30" s="33" t="str">
        <x:v>2019年统计公报</x:v>
      </x:c>
      <x:c r="D30" s="33" t="str">
        <x:v>https://www.tjjz.gov.cn/zwgk/zfxxgkqjjg/tjj1/fdzdgknr34/tjxx34/202107/t20210705_5495855.html</x:v>
      </x:c>
      <x:c r="E30" s="33" t="str">
        <x:v>data/raw/government/statistical_bulletin_2019.html</x:v>
      </x:c>
      <x:c r="F30" s="33" t="str">
        <x:v>downloaded_html</x:v>
      </x:c>
      <x:c r="G30" s="33" t="str">
        <x:v>accessed=2026-08-17;官方HTML原件</x:v>
      </x:c>
      <x:c r="H30" s="11"/>
      <x:c r="I30" s="11"/>
    </x:row>
    <x:row r="31" ht="42" customHeight="1">
      <x:c r="A31" s="33" t="str">
        <x:v>gov_jz_bulletin_2019_copy</x:v>
      </x:c>
      <x:c r="B31" s="33" t="str">
        <x:v>蓟州区统计公报</x:v>
      </x:c>
      <x:c r="C31" s="33" t="str">
        <x:v>2019年统计公报初始归档副本</x:v>
      </x:c>
      <x:c r="D31" s="33" t="str">
        <x:v>https://www.tjjz.gov.cn/zwgk/zfxxgkqjjg/tjj1/fdzdgknr34/tjxx34/202107/t20210705_5495855.html</x:v>
      </x:c>
      <x:c r="E31" s="33" t="str">
        <x:v>data/raw/government/jizhou_2019_bulletin_page.html</x:v>
      </x:c>
      <x:c r="F31" s="33" t="str">
        <x:v>downloaded_html_duplicate</x:v>
      </x:c>
      <x:c r="G31" s="33" t="str">
        <x:v>accessed=2026-08-17;与标准命名文件内容等价</x:v>
      </x:c>
      <x:c r="H31" s="11"/>
      <x:c r="I31" s="11"/>
    </x:row>
    <x:row r="32" ht="42" customHeight="1">
      <x:c r="A32" s="33" t="str">
        <x:v>gov_jz_bulletin_2020</x:v>
      </x:c>
      <x:c r="B32" s="33" t="str">
        <x:v>蓟州区统计公报</x:v>
      </x:c>
      <x:c r="C32" s="33" t="str">
        <x:v>2020年统计公报及年鉴发布页</x:v>
      </x:c>
      <x:c r="D32" s="33" t="str">
        <x:v>https://www.tjjz.gov.cn/zwgk/zfxxgkqjjg/tjj1/fdzdgknr34/tjxx34/202111/t20211115_5703949.html</x:v>
      </x:c>
      <x:c r="E32" s="33" t="str">
        <x:v>data/raw/government/statistical_bulletin_2020.html</x:v>
      </x:c>
      <x:c r="F32" s="33" t="str">
        <x:v>downloaded_html</x:v>
      </x:c>
      <x:c r="G32" s="33" t="str">
        <x:v>accessed=2026-08-17;官方HTML原件</x:v>
      </x:c>
      <x:c r="H32" s="11"/>
      <x:c r="I32" s="11"/>
    </x:row>
    <x:row r="33" ht="42" customHeight="1">
      <x:c r="A33" s="33" t="str">
        <x:v>gov_jz_bulletin_2020_copy</x:v>
      </x:c>
      <x:c r="B33" s="33" t="str">
        <x:v>蓟州区统计公报</x:v>
      </x:c>
      <x:c r="C33" s="33" t="str">
        <x:v>2020年统计公报及年鉴初始归档副本</x:v>
      </x:c>
      <x:c r="D33" s="33" t="str">
        <x:v>https://www.tjjz.gov.cn/zwgk/zfxxgkqjjg/tjj1/fdzdgknr34/tjxx34/202111/t20211115_5703949.html</x:v>
      </x:c>
      <x:c r="E33" s="33" t="str">
        <x:v>data/raw/government/jizhou_2020_bulletin_yearbook_page.html</x:v>
      </x:c>
      <x:c r="F33" s="33" t="str">
        <x:v>downloaded_html_duplicate</x:v>
      </x:c>
      <x:c r="G33" s="33" t="str">
        <x:v>accessed=2026-08-17;与标准命名文件内容等价</x:v>
      </x:c>
      <x:c r="H33" s="11"/>
      <x:c r="I33" s="11"/>
    </x:row>
    <x:row r="34" ht="42" customHeight="1">
      <x:c r="A34" s="33" t="str">
        <x:v>gov_jz_yearbook_2020_comprehensive</x:v>
      </x:c>
      <x:c r="B34" s="33" t="str">
        <x:v>蓟州区统计年鉴</x:v>
      </x:c>
      <x:c r="C34" s="33" t="str">
        <x:v>2020年鉴综合表</x:v>
      </x:c>
      <x:c r="D34" s="33" t="str">
        <x:v>https://www.tjjz.gov.cn/zwgk/zfxxgkqjjg/tjj1/fdzdgknr34/tjxx34/202111/W020211117618518239847.xls</x:v>
      </x:c>
      <x:c r="E34" s="33" t="str">
        <x:v>data/raw/government/jizhou_yearbook_2020_comprehensive.xls</x:v>
      </x:c>
      <x:c r="F34" s="33" t="str">
        <x:v>downloaded_xls</x:v>
      </x:c>
      <x:c r="G34" s="33" t="str">
        <x:v>accessed=2026-08-17;官方Excel附件</x:v>
      </x:c>
      <x:c r="H34" s="11"/>
      <x:c r="I34" s="11"/>
    </x:row>
    <x:row r="35" ht="42" customHeight="1">
      <x:c r="A35" s="33" t="str">
        <x:v>gov_jz_bulletin_2021</x:v>
      </x:c>
      <x:c r="B35" s="33" t="str">
        <x:v>蓟州区统计公报</x:v>
      </x:c>
      <x:c r="C35" s="33" t="str">
        <x:v>2021年统计公报</x:v>
      </x:c>
      <x:c r="D35" s="33" t="str">
        <x:v>https://www.tjjz.gov.cn/zwgk/sjfb/tjgb/202211/t20221128_6044247.html</x:v>
      </x:c>
      <x:c r="E35" s="33" t="str">
        <x:v>data/raw/government/statistical_bulletin_2021.html</x:v>
      </x:c>
      <x:c r="F35" s="33" t="str">
        <x:v>downloaded_html</x:v>
      </x:c>
      <x:c r="G35" s="33" t="str">
        <x:v>accessed=2026-08-17;官方HTML原件</x:v>
      </x:c>
      <x:c r="H35" s="11"/>
      <x:c r="I35" s="11"/>
    </x:row>
    <x:row r="36" ht="42" customHeight="1">
      <x:c r="A36" s="33" t="str">
        <x:v>gov_jz_yearbook_2021_page</x:v>
      </x:c>
      <x:c r="B36" s="33" t="str">
        <x:v>蓟州区统计年鉴</x:v>
      </x:c>
      <x:c r="C36" s="33" t="str">
        <x:v>2021年统计年鉴发布页</x:v>
      </x:c>
      <x:c r="D36" s="33" t="str">
        <x:v>https://www.tjjz.gov.cn/zwgk/sjfb/tjnb/202211/t20221128_6044242.html</x:v>
      </x:c>
      <x:c r="E36" s="33" t="str">
        <x:v>data/raw/government/jizhou_2021_yearbook_page.html</x:v>
      </x:c>
      <x:c r="F36" s="33" t="str">
        <x:v>downloaded_html</x:v>
      </x:c>
      <x:c r="G36" s="33" t="str">
        <x:v>accessed=2026-08-17;官方HTML原件</x:v>
      </x:c>
      <x:c r="H36" s="11"/>
      <x:c r="I36" s="11"/>
    </x:row>
    <x:row r="37" ht="42" customHeight="1">
      <x:c r="A37" s="33" t="str">
        <x:v>gov_jz_yearbook_2021</x:v>
      </x:c>
      <x:c r="B37" s="33" t="str">
        <x:v>蓟州区统计年鉴</x:v>
      </x:c>
      <x:c r="C37" s="33" t="str">
        <x:v>2021年统计年鉴RAR</x:v>
      </x:c>
      <x:c r="D37" s="33" t="str">
        <x:v>https://www.tjjz.gov.cn/zwgk/sjfb/tjnb/202211/W020250107625770490134.rar</x:v>
      </x:c>
      <x:c r="E37" s="33" t="str">
        <x:v>data/raw/government/jizhou_yearbook_2021.rar</x:v>
      </x:c>
      <x:c r="F37" s="33" t="str">
        <x:v>downloaded_rar</x:v>
      </x:c>
      <x:c r="G37" s="33" t="str">
        <x:v>accessed=2026-08-17;含14个分类表</x:v>
      </x:c>
      <x:c r="H37" s="11"/>
      <x:c r="I37" s="11"/>
    </x:row>
    <x:row r="38" ht="42" customHeight="1">
      <x:c r="A38" s="33" t="str">
        <x:v>gov_jz_bulletin_2022</x:v>
      </x:c>
      <x:c r="B38" s="33" t="str">
        <x:v>蓟州区统计公报</x:v>
      </x:c>
      <x:c r="C38" s="33" t="str">
        <x:v>2022年统计公报</x:v>
      </x:c>
      <x:c r="D38" s="33" t="str">
        <x:v>https://www.tjjz.gov.cn/zwgk/sjfb/tjgb/202311/t20231107_6450006.html</x:v>
      </x:c>
      <x:c r="E38" s="33" t="str">
        <x:v>data/raw/government/statistical_bulletin_2022.html</x:v>
      </x:c>
      <x:c r="F38" s="33" t="str">
        <x:v>downloaded_html</x:v>
      </x:c>
      <x:c r="G38" s="33" t="str">
        <x:v>accessed=2026-08-17;官方HTML原件</x:v>
      </x:c>
      <x:c r="H38" s="11"/>
      <x:c r="I38" s="11"/>
    </x:row>
    <x:row r="39" ht="42" customHeight="1">
      <x:c r="A39" s="33" t="str">
        <x:v>gov_jz_yearbook_2022_page</x:v>
      </x:c>
      <x:c r="B39" s="33" t="str">
        <x:v>蓟州区统计年鉴</x:v>
      </x:c>
      <x:c r="C39" s="33" t="str">
        <x:v>2022年统计年鉴发布页</x:v>
      </x:c>
      <x:c r="D39" s="33" t="str">
        <x:v>https://www.tjjz.gov.cn/zwgk/sjfb/tjnb/202311/t20231108_6450942.html</x:v>
      </x:c>
      <x:c r="E39" s="33" t="str">
        <x:v>data/raw/government/jizhou_2022_yearbook_page.html</x:v>
      </x:c>
      <x:c r="F39" s="33" t="str">
        <x:v>downloaded_html</x:v>
      </x:c>
      <x:c r="G39" s="33" t="str">
        <x:v>accessed=2026-08-17;官方HTML原件</x:v>
      </x:c>
      <x:c r="H39" s="11"/>
      <x:c r="I39" s="11"/>
    </x:row>
    <x:row r="40" ht="42" customHeight="1">
      <x:c r="A40" s="33" t="str">
        <x:v>gov_jz_yearbook_2022</x:v>
      </x:c>
      <x:c r="B40" s="33" t="str">
        <x:v>蓟州区统计年鉴</x:v>
      </x:c>
      <x:c r="C40" s="33" t="str">
        <x:v>2022年蓟州区统计年鉴PDF</x:v>
      </x:c>
      <x:c r="D40" s="33" t="str">
        <x:v>https://www.tjjz.gov.cn/zwgk/sjfb/tjnb/202311/W020250107625663560312.pdf</x:v>
      </x:c>
      <x:c r="E40" s="33" t="str">
        <x:v>data/raw/government/jizhou_yearbook_2022.pdf</x:v>
      </x:c>
      <x:c r="F40" s="33" t="str">
        <x:v>downloaded_pdf</x:v>
      </x:c>
      <x:c r="G40" s="33" t="str">
        <x:v>accessed=2026-08-17;174页</x:v>
      </x:c>
      <x:c r="H40" s="11"/>
      <x:c r="I40" s="11"/>
    </x:row>
    <x:row r="41" ht="42" customHeight="1">
      <x:c r="A41" s="33" t="str">
        <x:v>gov_jz_bulletin_2023</x:v>
      </x:c>
      <x:c r="B41" s="33" t="str">
        <x:v>蓟州区统计公报</x:v>
      </x:c>
      <x:c r="C41" s="33" t="str">
        <x:v>2023年统计公报</x:v>
      </x:c>
      <x:c r="D41" s="33" t="str">
        <x:v>https://www.tjjz.gov.cn/zwgk/zfxxgkqjjg/tjj1/fdzdgknr34/tjxx34/202406/t20240627_6662772.html</x:v>
      </x:c>
      <x:c r="E41" s="33" t="str">
        <x:v>data/raw/government/statistical_bulletin_2023.html</x:v>
      </x:c>
      <x:c r="F41" s="33" t="str">
        <x:v>downloaded_html</x:v>
      </x:c>
      <x:c r="G41" s="33" t="str">
        <x:v>accessed=2026-08-17;官方HTML原件</x:v>
      </x:c>
      <x:c r="H41" s="11"/>
      <x:c r="I41" s="11"/>
    </x:row>
    <x:row r="42" ht="42" customHeight="1">
      <x:c r="A42" s="33" t="str">
        <x:v>gov_jz_yearbook_2023_page</x:v>
      </x:c>
      <x:c r="B42" s="33" t="str">
        <x:v>蓟州区统计年鉴</x:v>
      </x:c>
      <x:c r="C42" s="33" t="str">
        <x:v>2023年统计年鉴发布页</x:v>
      </x:c>
      <x:c r="D42" s="33" t="str">
        <x:v>https://www.tjjz.gov.cn/zwgk/sjfb/tjnb/202501/t20250103_6824073.html</x:v>
      </x:c>
      <x:c r="E42" s="33" t="str">
        <x:v>data/raw/government/jizhou_2023_yearbook_page.html</x:v>
      </x:c>
      <x:c r="F42" s="33" t="str">
        <x:v>downloaded_html</x:v>
      </x:c>
      <x:c r="G42" s="33" t="str">
        <x:v>accessed=2026-08-17;官方HTML原件</x:v>
      </x:c>
      <x:c r="H42" s="11"/>
      <x:c r="I42" s="11"/>
    </x:row>
    <x:row r="43" ht="42" customHeight="1">
      <x:c r="A43" s="33" t="str">
        <x:v>gov_jz_yearbook_2023</x:v>
      </x:c>
      <x:c r="B43" s="33" t="str">
        <x:v>蓟州区统计年鉴</x:v>
      </x:c>
      <x:c r="C43" s="33" t="str">
        <x:v>2023年蓟州区统计年鉴PDF</x:v>
      </x:c>
      <x:c r="D43" s="33" t="str">
        <x:v>https://www.tjjz.gov.cn/zwgk/sjfb/tjnb/202501/W020250103638170510358.pdf</x:v>
      </x:c>
      <x:c r="E43" s="33" t="str">
        <x:v>data/raw/government/jizhou_yearbook_2023.pdf</x:v>
      </x:c>
      <x:c r="F43" s="33" t="str">
        <x:v>downloaded_pdf</x:v>
      </x:c>
      <x:c r="G43" s="33" t="str">
        <x:v>accessed=2026-08-17;173页</x:v>
      </x:c>
      <x:c r="H43" s="11"/>
      <x:c r="I43" s="11"/>
    </x:row>
    <x:row r="44" ht="42" customHeight="1">
      <x:c r="A44" s="33" t="str">
        <x:v>gov_jz_bulletin_2024</x:v>
      </x:c>
      <x:c r="B44" s="33" t="str">
        <x:v>蓟州区统计公报</x:v>
      </x:c>
      <x:c r="C44" s="33" t="str">
        <x:v>2024年统计公报</x:v>
      </x:c>
      <x:c r="D44" s="33" t="str">
        <x:v>https://www.tjjz.gov.cn/zwgk/sjfb/tjgb/202506/t20250630_6969506.html</x:v>
      </x:c>
      <x:c r="E44" s="33" t="str">
        <x:v>data/raw/government/statistical_bulletin_2024.html</x:v>
      </x:c>
      <x:c r="F44" s="33" t="str">
        <x:v>downloaded_html</x:v>
      </x:c>
      <x:c r="G44" s="33" t="str">
        <x:v>accessed=2026-08-17;官方HTML原件</x:v>
      </x:c>
      <x:c r="H44" s="11"/>
      <x:c r="I44" s="11"/>
    </x:row>
    <x:row r="45" ht="42" customHeight="1">
      <x:c r="A45" s="33" t="str">
        <x:v>gov_jz_yearbook_2024_page</x:v>
      </x:c>
      <x:c r="B45" s="33" t="str">
        <x:v>蓟州区统计年鉴</x:v>
      </x:c>
      <x:c r="C45" s="33" t="str">
        <x:v>2024年统计年鉴发布页</x:v>
      </x:c>
      <x:c r="D45" s="33" t="str">
        <x:v>https://www.tjjz.gov.cn/zwgk/sjfb/tjnb/202511/t20251126_7185954.html</x:v>
      </x:c>
      <x:c r="E45" s="33" t="str">
        <x:v>data/raw/government/jizhou_2024_yearbook_page.html</x:v>
      </x:c>
      <x:c r="F45" s="33" t="str">
        <x:v>downloaded_html</x:v>
      </x:c>
      <x:c r="G45" s="33" t="str">
        <x:v>accessed=2026-08-17;官方HTML原件</x:v>
      </x:c>
      <x:c r="H45" s="11"/>
      <x:c r="I45" s="11"/>
    </x:row>
    <x:row r="46" ht="42" customHeight="1">
      <x:c r="A46" s="33" t="str">
        <x:v>gov_jz_yearbook_2024</x:v>
      </x:c>
      <x:c r="B46" s="33" t="str">
        <x:v>蓟州区统计年鉴</x:v>
      </x:c>
      <x:c r="C46" s="33" t="str">
        <x:v>2024年蓟州区统计年鉴PDF</x:v>
      </x:c>
      <x:c r="D46" s="33" t="str">
        <x:v>https://www.tjjz.gov.cn/zwgk/sjfb/tjnb/202511/W020251126560102082891.pdf</x:v>
      </x:c>
      <x:c r="E46" s="33" t="str">
        <x:v>data/raw/government/jizhou_yearbook_2024.pdf</x:v>
      </x:c>
      <x:c r="F46" s="33" t="str">
        <x:v>downloaded_pdf</x:v>
      </x:c>
      <x:c r="G46" s="33" t="str">
        <x:v>accessed=2026-08-17;173页</x:v>
      </x:c>
      <x:c r="H46" s="11"/>
      <x:c r="I46" s="11"/>
    </x:row>
    <x:row r="47" ht="42" customHeight="1">
      <x:c r="A47" s="33" t="str">
        <x:v>gov_jz_bulletin_2025</x:v>
      </x:c>
      <x:c r="B47" s="33" t="str">
        <x:v>蓟州区统计公报</x:v>
      </x:c>
      <x:c r="C47" s="33" t="str">
        <x:v>2025年统计公报</x:v>
      </x:c>
      <x:c r="D47" s="33" t="str">
        <x:v>https://www.tjjz.gov.cn/zwgk/sjfb/tjgb/202606/t20260629_7325623.html</x:v>
      </x:c>
      <x:c r="E47" s="33" t="str">
        <x:v>data/raw/government/statistical_bulletin_2025.html</x:v>
      </x:c>
      <x:c r="F47" s="33" t="str">
        <x:v>downloaded_html</x:v>
      </x:c>
      <x:c r="G47" s="33" t="str">
        <x:v>accessed=2026-08-17;官方HTML原件</x:v>
      </x:c>
      <x:c r="H47" s="11"/>
      <x:c r="I47" s="11"/>
    </x:row>
    <x:row r="48" ht="42" customHeight="1">
      <x:c r="A48" s="33" t="str">
        <x:v>gov_jz_monthly_2024</x:v>
      </x:c>
      <x:c r="B48" s="33" t="str">
        <x:v>蓟州区月度统计</x:v>
      </x:c>
      <x:c r="C48" s="33" t="str">
        <x:v>2024年1—12月统计资料</x:v>
      </x:c>
      <x:c r="D48" s="33" t="str">
        <x:v>https://www.tjjz.gov.cn/zwgk/sjfb/tjyb/202501/t20250123_6842681.html</x:v>
      </x:c>
      <x:c r="E48" s="33" t="str">
        <x:v>data/raw/government/monthly_statistics_2024.html</x:v>
      </x:c>
      <x:c r="F48" s="33" t="str">
        <x:v>downloaded_html</x:v>
      </x:c>
      <x:c r="G48" s="33" t="str">
        <x:v>accessed=2026-08-17;年度累计指标</x:v>
      </x:c>
      <x:c r="H48" s="11"/>
      <x:c r="I48" s="11"/>
    </x:row>
    <x:row r="49" ht="42" customHeight="1">
      <x:c r="A49" s="33" t="str">
        <x:v>gov_tj_yearbook_2011_jixian</x:v>
      </x:c>
      <x:c r="B49" s="33" t="str">
        <x:v>天津统计年鉴</x:v>
      </x:c>
      <x:c r="C49" s="33" t="str">
        <x:v>2011年鉴蓟县基本情况</x:v>
      </x:c>
      <x:c r="D49" s="33" t="str">
        <x:v>https://stats.tj.gov.cn/nianjian/2011nj/html/2316.htm</x:v>
      </x:c>
      <x:c r="E49" s="33" t="str">
        <x:v>data/raw/government/tianjin_statistics/tj_yearbook_2011_jixian_basic.html</x:v>
      </x:c>
      <x:c r="F49" s="33" t="str">
        <x:v>downloaded_html</x:v>
      </x:c>
      <x:c r="G49" s="33" t="str">
        <x:v>accessed=2026-08-17;含2009—2010区县指标</x:v>
      </x:c>
      <x:c r="H49" s="11"/>
      <x:c r="I49" s="11"/>
    </x:row>
    <x:row r="50" ht="42" customHeight="1">
      <x:c r="A50" s="33" t="str">
        <x:v>gov_tj_yearbook_2012_jixian</x:v>
      </x:c>
      <x:c r="B50" s="33" t="str">
        <x:v>天津统计年鉴</x:v>
      </x:c>
      <x:c r="C50" s="33" t="str">
        <x:v>2012年鉴蓟县基本情况</x:v>
      </x:c>
      <x:c r="D50" s="33" t="str">
        <x:v>https://stats.tj.gov.cn/nianjian/2012nj/html/22-17.htm</x:v>
      </x:c>
      <x:c r="E50" s="33" t="str">
        <x:v>data/raw/government/historical_official_cache_evidence.md</x:v>
      </x:c>
      <x:c r="F50" s="33" t="str">
        <x:v>indexed_official_page_waf</x:v>
      </x:c>
      <x:c r="G50" s="33" t="str">
        <x:v>accessed=2026-08-17;旧站防护导致原件下载重定向循环；官方索引可复核</x:v>
      </x:c>
      <x:c r="H50" s="11"/>
      <x:c r="I50" s="11"/>
    </x:row>
    <x:row r="51" ht="42" customHeight="1">
      <x:c r="A51" s="33" t="str">
        <x:v>gov_tj_yearbook_2023_jizhou</x:v>
      </x:c>
      <x:c r="B51" s="33" t="str">
        <x:v>天津统计年鉴</x:v>
      </x:c>
      <x:c r="C51" s="33" t="str">
        <x:v>2023年鉴蓟州区基本情况</x:v>
      </x:c>
      <x:c r="D51" s="33" t="str">
        <x:v>https://stats.tj.gov.cn/nianjian/2023nj/zk/html/25-17.xls</x:v>
      </x:c>
      <x:c r="E51" s="33" t="str">
        <x:v>data/raw/government/tianjin_statistics/tj_yearbook_2023_jizhou_basic.xls</x:v>
      </x:c>
      <x:c r="F51" s="33" t="str">
        <x:v>downloaded_xls</x:v>
      </x:c>
      <x:c r="G51" s="33" t="str">
        <x:v>accessed=2026-08-17;区级校验表</x:v>
      </x:c>
      <x:c r="H51" s="11"/>
      <x:c r="I51" s="11"/>
    </x:row>
    <x:row r="52" ht="42" customHeight="1">
      <x:c r="A52" s="33" t="str">
        <x:v>gov_tj_yearbook_2024_jizhou</x:v>
      </x:c>
      <x:c r="B52" s="33" t="str">
        <x:v>天津统计年鉴</x:v>
      </x:c>
      <x:c r="C52" s="33" t="str">
        <x:v>2024年鉴蓟州区基本情况</x:v>
      </x:c>
      <x:c r="D52" s="33" t="str">
        <x:v>https://stats.tj.gov.cn/nianjian/2024nj/zk/html/25-17.xls</x:v>
      </x:c>
      <x:c r="E52" s="33" t="str">
        <x:v>data/raw/government/tianjin_statistics/tj_yearbook_2024_jizhou_basic.xls</x:v>
      </x:c>
      <x:c r="F52" s="33" t="str">
        <x:v>downloaded_xls</x:v>
      </x:c>
      <x:c r="G52" s="33" t="str">
        <x:v>accessed=2026-08-17;区级校验表</x:v>
      </x:c>
      <x:c r="H52" s="11"/>
      <x:c r="I52" s="11"/>
    </x:row>
    <x:row r="53" ht="42" customHeight="1">
      <x:c r="A53" s="33" t="str">
        <x:v>gov_tj_yearbook_2024_districts</x:v>
      </x:c>
      <x:c r="B53" s="33" t="str">
        <x:v>天津统计年鉴</x:v>
      </x:c>
      <x:c r="C53" s="33" t="str">
        <x:v>2024年鉴各区主要经济指标</x:v>
      </x:c>
      <x:c r="D53" s="33" t="str">
        <x:v>https://stats.tj.gov.cn/nianjian/2024nj/zk/html/25-01.xls</x:v>
      </x:c>
      <x:c r="E53" s="33" t="str">
        <x:v>data/raw/government/tianjin_statistics/tj_yearbook_2024_district_indicators.xls</x:v>
      </x:c>
      <x:c r="F53" s="33" t="str">
        <x:v>downloaded_xls</x:v>
      </x:c>
      <x:c r="G53" s="33" t="str">
        <x:v>accessed=2026-08-17;跨区校验表</x:v>
      </x:c>
      <x:c r="H53" s="11"/>
      <x:c r="I53" s="11"/>
    </x:row>
    <x:row r="54" ht="42" customHeight="1">
      <x:c r="A54" s="33" t="str">
        <x:v>gov_tj_yearbook_2025_jizhou</x:v>
      </x:c>
      <x:c r="B54" s="33" t="str">
        <x:v>天津统计年鉴</x:v>
      </x:c>
      <x:c r="C54" s="33" t="str">
        <x:v>2025年鉴蓟州区基本情况</x:v>
      </x:c>
      <x:c r="D54" s="33" t="str">
        <x:v>https://stats.tj.gov.cn/nianjian/2025nj/zk/html/25-17.xls</x:v>
      </x:c>
      <x:c r="E54" s="33" t="str">
        <x:v>data/raw/government/tianjin_statistics/tj_yearbook_2025_jizhou_basic.xls</x:v>
      </x:c>
      <x:c r="F54" s="33" t="str">
        <x:v>downloaded_xls</x:v>
      </x:c>
      <x:c r="G54" s="33" t="str">
        <x:v>accessed=2026-08-17;区级校验表</x:v>
      </x:c>
      <x:c r="H54" s="11"/>
      <x:c r="I54" s="11"/>
    </x:row>
    <x:row r="55" ht="42" customHeight="1">
      <x:c r="A55" s="33" t="str">
        <x:v>gov_tj_yearbook_2025_districts</x:v>
      </x:c>
      <x:c r="B55" s="33" t="str">
        <x:v>天津统计年鉴</x:v>
      </x:c>
      <x:c r="C55" s="33" t="str">
        <x:v>2025年鉴各区主要经济指标</x:v>
      </x:c>
      <x:c r="D55" s="33" t="str">
        <x:v>https://stats.tj.gov.cn/nianjian/2025nj/zk/html/25-01.xls</x:v>
      </x:c>
      <x:c r="E55" s="33" t="str">
        <x:v>data/raw/government/tianjin_statistics/tj_yearbook_2025_district_indicators.xls</x:v>
      </x:c>
      <x:c r="F55" s="33" t="str">
        <x:v>downloaded_xls</x:v>
      </x:c>
      <x:c r="G55" s="33" t="str">
        <x:v>accessed=2026-08-17;跨区校验表</x:v>
      </x:c>
      <x:c r="H55" s="11"/>
      <x:c r="I55" s="11"/>
    </x:row>
    <x:row r="56" ht="42" customHeight="1">
      <x:c r="A56" s="33" t="str">
        <x:v>gov_tj_whly_star_hotels_2024</x:v>
      </x:c>
      <x:c r="B56" s="33" t="str">
        <x:v>天津文旅统计</x:v>
      </x:c>
      <x:c r="C56" s="33" t="str">
        <x:v>2024年分区星级饭店</x:v>
      </x:c>
      <x:c r="D56" s="33" t="str">
        <x:v>https://whly.tj.gov.cn/ZWGKYXXGK1640/ZFXXGK5456_1/FDZDGKNR5153/TJXX3610/202509/W020250912551107590041.xls</x:v>
      </x:c>
      <x:c r="E56" s="33" t="str">
        <x:v>data/raw/government/tianjin_culture_tourism/star_hotels_by_district_2024.xls</x:v>
      </x:c>
      <x:c r="F56" s="33" t="str">
        <x:v>downloaded_xls</x:v>
      </x:c>
      <x:c r="G56" s="33" t="str">
        <x:v>accessed=2026-08-17;结构校验数据非蓟州旅游总量</x:v>
      </x:c>
      <x:c r="H56" s="11"/>
      <x:c r="I56" s="11"/>
    </x:row>
    <x:row r="57" ht="42" customHeight="1">
      <x:c r="A57" s="33" t="str">
        <x:v>gov_tj_whly_scenic_2021_2024</x:v>
      </x:c>
      <x:c r="B57" s="33" t="str">
        <x:v>天津文旅统计</x:v>
      </x:c>
      <x:c r="C57" s="33" t="str">
        <x:v>2021—2024重点A级景区</x:v>
      </x:c>
      <x:c r="D57" s="33" t="str">
        <x:v>https://whly.tj.gov.cn/ZWGKYXXGK1640/ZFXXGK5456_1/FDZDGKNR5153/TJXX3610/202509/W020250912550622295186.xls</x:v>
      </x:c>
      <x:c r="E57" s="33" t="str">
        <x:v>data/raw/government/tianjin_culture_tourism/key_a_scenic_spots_2021_2024.xls</x:v>
      </x:c>
      <x:c r="F57" s="33" t="str">
        <x:v>downloaded_xls</x:v>
      </x:c>
      <x:c r="G57" s="33" t="str">
        <x:v>accessed=2026-08-17;结构校验数据非全区旅游总量</x:v>
      </x:c>
      <x:c r="H57" s="11"/>
      <x:c r="I57" s="11"/>
    </x:row>
    <x:row r="58" ht="42" customHeight="1">
      <x:c r="A58" s="33" t="str">
        <x:v>gov_tj_bulletin_2020_tourism</x:v>
      </x:c>
      <x:c r="B58" s="33" t="str">
        <x:v>天津市旅游基准</x:v>
      </x:c>
      <x:c r="C58" s="33" t="str">
        <x:v>2020年天津市国民经济和社会发展统计公报</x:v>
      </x:c>
      <x:c r="D58" s="33" t="str">
        <x:v>https://stats.tj.gov.cn/tjsj_52032/tjgb/202103/t20210317_5386752.html</x:v>
      </x:c>
      <x:c r="E58" s="33"/>
      <x:c r="F58" s="33" t="str">
        <x:v>verified_online</x:v>
      </x:c>
      <x:c r="G58" s="33" t="str">
        <x:v>accessed=2026-08-17;国内游客1.41亿人次、国内旅游收入1331.42亿元</x:v>
      </x:c>
      <x:c r="H58" s="11"/>
      <x:c r="I58" s="11"/>
    </x:row>
    <x:row r="59" ht="42" customHeight="1">
      <x:c r="A59" s="33" t="str">
        <x:v>gov_tj_bulletin_2021_tourism</x:v>
      </x:c>
      <x:c r="B59" s="33" t="str">
        <x:v>天津市旅游基准</x:v>
      </x:c>
      <x:c r="C59" s="33" t="str">
        <x:v>2021年天津市国民经济和社会发展统计公报</x:v>
      </x:c>
      <x:c r="D59" s="33" t="str">
        <x:v>https://stats.tj.gov.cn/tjsj_52032/tjgb/202203/t20220314_5828586.html</x:v>
      </x:c>
      <x:c r="E59" s="33"/>
      <x:c r="F59" s="33" t="str">
        <x:v>verified_online</x:v>
      </x:c>
      <x:c r="G59" s="33" t="str">
        <x:v>accessed=2026-08-17;国内游客1.79亿人次、国内旅游收入1968.81亿元</x:v>
      </x:c>
      <x:c r="H59" s="11"/>
      <x:c r="I59" s="11"/>
    </x:row>
    <x:row r="60" ht="42" customHeight="1">
      <x:c r="A60" s="33" t="str">
        <x:v>gov_tj_bulletin_2023_tourism</x:v>
      </x:c>
      <x:c r="B60" s="33" t="str">
        <x:v>天津市旅游基准</x:v>
      </x:c>
      <x:c r="C60" s="33" t="str">
        <x:v>2023年天津市国民经济和社会发展统计公报</x:v>
      </x:c>
      <x:c r="D60" s="33" t="str">
        <x:v>https://stats.tj.gov.cn/tjsj_52032/tjgb/202403/t20240318_6563697.html</x:v>
      </x:c>
      <x:c r="E60" s="33"/>
      <x:c r="F60" s="33" t="str">
        <x:v>verified_online</x:v>
      </x:c>
      <x:c r="G60" s="33" t="str">
        <x:v>accessed=2026-08-17;国内游客2.36亿人次、国内旅游收入2215.41亿元</x:v>
      </x:c>
      <x:c r="H60" s="11"/>
      <x:c r="I60" s="11"/>
    </x:row>
    <x:row r="61" ht="42" customHeight="1">
      <x:c r="A61" s="34" t="str">
        <x:v>gov_tj_bulletin_2024_tourism</x:v>
      </x:c>
      <x:c r="B61" s="34" t="str">
        <x:v>天津市旅游基准</x:v>
      </x:c>
      <x:c r="C61" s="34" t="str">
        <x:v>2024年天津市国民经济和社会发展统计公报</x:v>
      </x:c>
      <x:c r="D61" s="34" t="str">
        <x:v>https://stats.tj.gov.cn/tjsj_52032/tjgb/202503/t20250321_6889872.html</x:v>
      </x:c>
      <x:c r="E61" s="34"/>
      <x:c r="F61" s="34" t="str">
        <x:v>verified_online</x:v>
      </x:c>
      <x:c r="G61" s="34" t="str">
        <x:v>accessed=2026-08-17;国内游客2.61亿人次、国内旅游收入2930.98亿元</x:v>
      </x:c>
      <x:c r="H61" s="11"/>
      <x:c r="I61" s="11"/>
    </x:row>
  </x:sheetData>
  <x:pageMargins left="0.7" right="0.7" top="0.75" bottom="0.75" header="0.3" footer="0.3"/>
  <x:tableParts count="1">
    <x:tablePart xmlns:r="http://schemas.openxmlformats.org/officeDocument/2006/relationships" r:id="R3fd38fc14f754a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46" customHeight="1">
      <x:c r="A1" s="23" t="str">
        <x:v>scenario</x:v>
      </x:c>
      <x:c r="B1" s="24" t="str">
        <x:v>year</x:v>
      </x:c>
      <x:c r="C1" s="24" t="str">
        <x:v>visitors_10k</x:v>
      </x:c>
      <x:c r="D1" s="24" t="str">
        <x:v>spend_cny</x:v>
      </x:c>
      <x:c r="E1" s="24" t="str">
        <x:v>revenue_100m</x:v>
      </x:c>
      <x:c r="F1" s="24" t="str">
        <x:v>visitor_factor</x:v>
      </x:c>
      <x:c r="G1" s="24" t="str">
        <x:v>spend_factor</x:v>
      </x:c>
      <x:c r="H1" s="25" t="str">
        <x:v>basis</x:v>
      </x:c>
    </x:row>
    <x:row r="2" ht="38" customHeight="1">
      <x:c r="A2" s="29" t="str">
        <x:v>baseline</x:v>
      </x:c>
      <x:c r="B2" s="29" t="n">
        <x:v>2026</x:v>
      </x:c>
      <x:c r="C2" s="50" t="n">
        <x:v>2830.1834618491043</x:v>
      </x:c>
      <x:c r="D2" s="50" t="n">
        <x:v>882.3542248148567</x:v>
      </x:c>
      <x:c r="E2" s="50" t="n">
        <x:f>C2*D2/10000</x:f>
        <x:v>249.7224334563694</x:v>
      </x:c>
      <x:c r="F2" s="29" t="n">
        <x:v>1</x:v>
      </x:c>
      <x:c r="G2" s="29" t="n">
        <x:v>1</x:v>
      </x:c>
      <x:c r="H2" s="32" t="str">
        <x:v>正式组合预测</x:v>
      </x:c>
    </x:row>
    <x:row r="3" ht="38" customHeight="1">
      <x:c r="A3" s="30" t="str">
        <x:v>optimistic</x:v>
      </x:c>
      <x:c r="B3" s="30" t="n">
        <x:v>2026</x:v>
      </x:c>
      <x:c r="C3" s="51" t="n">
        <x:v>2886.7871310860864</x:v>
      </x:c>
      <x:c r="D3" s="51" t="n">
        <x:v>908.8248515593025</x:v>
      </x:c>
      <x:c r="E3" s="51" t="n">
        <x:f>C3*D3/10000</x:f>
        <x:v>262.3583885892617</x:v>
      </x:c>
      <x:c r="F3" s="30" t="n">
        <x:v>1.02</x:v>
      </x:c>
      <x:c r="G3" s="30" t="n">
        <x:v>1.03</x:v>
      </x:c>
      <x:c r="H3" s="33" t="str">
        <x:v>客源扩展与过夜消费同步提升</x:v>
      </x:c>
    </x:row>
    <x:row r="4" ht="38" customHeight="1">
      <x:c r="A4" s="30" t="str">
        <x:v>pessimistic</x:v>
      </x:c>
      <x:c r="B4" s="30" t="n">
        <x:v>2026</x:v>
      </x:c>
      <x:c r="C4" s="51" t="n">
        <x:v>2405.6559425717387</x:v>
      </x:c>
      <x:c r="D4" s="51" t="n">
        <x:v>820.5894290778168</x:v>
      </x:c>
      <x:c r="E4" s="51" t="n">
        <x:f>C4*D4/10000</x:f>
        <x:v>197.40558364726002</x:v>
      </x:c>
      <x:c r="F4" s="30" t="n">
        <x:v>0.85</x:v>
      </x:c>
      <x:c r="G4" s="30" t="n">
        <x:v>0.93</x:v>
      </x:c>
      <x:c r="H4" s="33" t="str">
        <x:v>一次性冲击后缓慢恢复</x:v>
      </x:c>
    </x:row>
    <x:row r="5" ht="38" customHeight="1">
      <x:c r="A5" s="30" t="str">
        <x:v>baseline</x:v>
      </x:c>
      <x:c r="B5" s="30" t="n">
        <x:v>2027</x:v>
      </x:c>
      <x:c r="C5" s="51" t="n">
        <x:v>2861.15936860072</x:v>
      </x:c>
      <x:c r="D5" s="51" t="n">
        <x:v>919.04567415083</x:v>
      </x:c>
      <x:c r="E5" s="51" t="n">
        <x:f>C5*D5/10000</x:f>
        <x:v>262.9536140768612</x:v>
      </x:c>
      <x:c r="F5" s="30" t="n">
        <x:v>1</x:v>
      </x:c>
      <x:c r="G5" s="30" t="n">
        <x:v>1</x:v>
      </x:c>
      <x:c r="H5" s="33" t="str">
        <x:v>正式组合预测</x:v>
      </x:c>
    </x:row>
    <x:row r="6" ht="38" customHeight="1">
      <x:c r="A6" s="30" t="str">
        <x:v>optimistic</x:v>
      </x:c>
      <x:c r="B6" s="30" t="n">
        <x:v>2027</x:v>
      </x:c>
      <x:c r="C6" s="51" t="n">
        <x:v>2976.750207092189</x:v>
      </x:c>
      <x:c r="D6" s="51" t="n">
        <x:v>975.0155557066155</x:v>
      </x:c>
      <x:c r="E6" s="51" t="n">
        <x:f>C6*D6/10000</x:f>
        <x:v>290.23777573677734</x:v>
      </x:c>
      <x:c r="F6" s="30" t="n">
        <x:v>1.0404</x:v>
      </x:c>
      <x:c r="G6" s="30" t="n">
        <x:v>1.0609</x:v>
      </x:c>
      <x:c r="H6" s="33" t="str">
        <x:v>客源扩展与过夜消费同步提升</x:v>
      </x:c>
    </x:row>
    <x:row r="7" ht="38" customHeight="1">
      <x:c r="A7" s="30" t="str">
        <x:v>pessimistic</x:v>
      </x:c>
      <x:c r="B7" s="30" t="n">
        <x:v>2027</x:v>
      </x:c>
      <x:c r="C7" s="51" t="n">
        <x:v>2517.8202443686337</x:v>
      </x:c>
      <x:c r="D7" s="51" t="n">
        <x:v>863.9029337017802</x:v>
      </x:c>
      <x:c r="E7" s="51" t="n">
        <x:f>C7*D7/10000</x:f>
        <x:v>217.51522956437958</x:v>
      </x:c>
      <x:c r="F7" s="30" t="n">
        <x:v>0.88</x:v>
      </x:c>
      <x:c r="G7" s="30" t="n">
        <x:v>0.94</x:v>
      </x:c>
      <x:c r="H7" s="33" t="str">
        <x:v>一次性冲击后缓慢恢复</x:v>
      </x:c>
    </x:row>
    <x:row r="8" ht="38" customHeight="1">
      <x:c r="A8" s="30" t="str">
        <x:v>baseline</x:v>
      </x:c>
      <x:c r="B8" s="30" t="n">
        <x:v>2028</x:v>
      </x:c>
      <x:c r="C8" s="51" t="n">
        <x:v>2874.784578894394</x:v>
      </x:c>
      <x:c r="D8" s="51" t="n">
        <x:v>966.0696805689454</x:v>
      </x:c>
      <x:c r="E8" s="51" t="n">
        <x:f>C8*D8/10000</x:f>
        <x:v>277.7242219837037</x:v>
      </x:c>
      <x:c r="F8" s="30" t="n">
        <x:v>1</x:v>
      </x:c>
      <x:c r="G8" s="30" t="n">
        <x:v>1</x:v>
      </x:c>
      <x:c r="H8" s="33" t="str">
        <x:v>正式组合预测</x:v>
      </x:c>
    </x:row>
    <x:row r="9" ht="38" customHeight="1">
      <x:c r="A9" s="30" t="str">
        <x:v>optimistic</x:v>
      </x:c>
      <x:c r="B9" s="30" t="n">
        <x:v>2028</x:v>
      </x:c>
      <x:c r="C9" s="51" t="n">
        <x:v>3050.7443933993627</x:v>
      </x:c>
      <x:c r="D9" s="51" t="n">
        <x:v>1055.650423839062</x:v>
      </x:c>
      <x:c r="E9" s="51" t="n">
        <x:f>C9*D9/10000</x:f>
        <x:v>322.0519611916679</x:v>
      </x:c>
      <x:c r="F9" s="30" t="n">
        <x:v>1.0612080000000002</x:v>
      </x:c>
      <x:c r="G9" s="30" t="n">
        <x:v>1.092727</x:v>
      </x:c>
      <x:c r="H9" s="33" t="str">
        <x:v>客源扩展与过夜消费同步提升</x:v>
      </x:c>
    </x:row>
    <x:row r="10" ht="38" customHeight="1">
      <x:c r="A10" s="30" t="str">
        <x:v>pessimistic</x:v>
      </x:c>
      <x:c r="B10" s="30" t="n">
        <x:v>2028</x:v>
      </x:c>
      <x:c r="C10" s="51" t="n">
        <x:v>2616.053966793899</x:v>
      </x:c>
      <x:c r="D10" s="51" t="n">
        <x:v>917.7661965404981</x:v>
      </x:c>
      <x:c r="E10" s="51" t="n">
        <x:f>C10*D10/10000</x:f>
        <x:v>240.0925899049119</x:v>
      </x:c>
      <x:c r="F10" s="30" t="n">
        <x:v>0.91</x:v>
      </x:c>
      <x:c r="G10" s="30" t="n">
        <x:v>0.95</x:v>
      </x:c>
      <x:c r="H10" s="33" t="str">
        <x:v>一次性冲击后缓慢恢复</x:v>
      </x:c>
    </x:row>
    <x:row r="11" ht="38" customHeight="1">
      <x:c r="A11" s="30" t="str">
        <x:v>baseline</x:v>
      </x:c>
      <x:c r="B11" s="30" t="n">
        <x:v>2029</x:v>
      </x:c>
      <x:c r="C11" s="51" t="n">
        <x:v>2904.1238956372927</x:v>
      </x:c>
      <x:c r="D11" s="51" t="n">
        <x:v>1010.3364490927751</x:v>
      </x:c>
      <x:c r="E11" s="51" t="n">
        <x:f>C11*D11/10000</x:f>
        <x:v>293.4142224443659</x:v>
      </x:c>
      <x:c r="F11" s="30" t="n">
        <x:v>1</x:v>
      </x:c>
      <x:c r="G11" s="30" t="n">
        <x:v>1</x:v>
      </x:c>
      <x:c r="H11" s="33" t="str">
        <x:v>正式组合预测</x:v>
      </x:c>
    </x:row>
    <x:row r="12" ht="38" customHeight="1">
      <x:c r="A12" s="30" t="str">
        <x:v>optimistic</x:v>
      </x:c>
      <x:c r="B12" s="30" t="n">
        <x:v>2029</x:v>
      </x:c>
      <x:c r="C12" s="51" t="n">
        <x:v>3143.517101262289</x:v>
      </x:c>
      <x:c r="D12" s="51" t="n">
        <x:v>1137.142574518035</x:v>
      </x:c>
      <x:c r="E12" s="51" t="n">
        <x:f>C12*D12/10000</x:f>
        <x:v>357.462712957087</x:v>
      </x:c>
      <x:c r="F12" s="30" t="n">
        <x:v>1.08243216</x:v>
      </x:c>
      <x:c r="G12" s="30" t="n">
        <x:v>1.1255088100000001</x:v>
      </x:c>
      <x:c r="H12" s="33" t="str">
        <x:v>客源扩展与过夜消费同步提升</x:v>
      </x:c>
    </x:row>
    <x:row r="13" ht="38" customHeight="1">
      <x:c r="A13" s="30" t="str">
        <x:v>pessimistic</x:v>
      </x:c>
      <x:c r="B13" s="30" t="n">
        <x:v>2029</x:v>
      </x:c>
      <x:c r="C13" s="51" t="n">
        <x:v>2729.876461899055</x:v>
      </x:c>
      <x:c r="D13" s="51" t="n">
        <x:v>980.0263556199918</x:v>
      </x:c>
      <x:c r="E13" s="51" t="n">
        <x:f>C13*D13/10000</x:f>
        <x:v>267.53508802477285</x:v>
      </x:c>
      <x:c r="F13" s="30" t="n">
        <x:v>0.94</x:v>
      </x:c>
      <x:c r="G13" s="30" t="n">
        <x:v>0.97</x:v>
      </x:c>
      <x:c r="H13" s="33" t="str">
        <x:v>一次性冲击后缓慢恢复</x:v>
      </x:c>
    </x:row>
    <x:row r="14" ht="38" customHeight="1">
      <x:c r="A14" s="30" t="str">
        <x:v>baseline</x:v>
      </x:c>
      <x:c r="B14" s="30" t="n">
        <x:v>2030</x:v>
      </x:c>
      <x:c r="C14" s="51" t="n">
        <x:v>2910.8752915812056</x:v>
      </x:c>
      <x:c r="D14" s="51" t="n">
        <x:v>1076.6534267426534</x:v>
      </x:c>
      <x:c r="E14" s="51" t="n">
        <x:f>C14*D14/10000</x:f>
        <x:v>313.4003857501425</x:v>
      </x:c>
      <x:c r="F14" s="30" t="n">
        <x:v>1</x:v>
      </x:c>
      <x:c r="G14" s="30" t="n">
        <x:v>1</x:v>
      </x:c>
      <x:c r="H14" s="33" t="str">
        <x:v>正式组合预测</x:v>
      </x:c>
    </x:row>
    <x:row r="15" ht="38" customHeight="1">
      <x:c r="A15" s="30" t="str">
        <x:v>optimistic</x:v>
      </x:c>
      <x:c r="B15" s="30" t="n">
        <x:v>2030</x:v>
      </x:c>
      <x:c r="C15" s="51" t="n">
        <x:v>3213.8415299440117</x:v>
      </x:c>
      <x:c r="D15" s="51" t="n">
        <x:v>1248.1364046290125</x:v>
      </x:c>
      <x:c r="E15" s="51" t="n">
        <x:f>C15*D15/10000</x:f>
        <x:v>401.1312612231724</x:v>
      </x:c>
      <x:c r="F15" s="30" t="n">
        <x:v>1.1040808032</x:v>
      </x:c>
      <x:c r="G15" s="30" t="n">
        <x:v>1.1592740743</x:v>
      </x:c>
      <x:c r="H15" s="33" t="str">
        <x:v>客源扩展与过夜消费同步提升</x:v>
      </x:c>
    </x:row>
    <x:row r="16" ht="38" customHeight="1">
      <x:c r="A16" s="31" t="str">
        <x:v>pessimistic</x:v>
      </x:c>
      <x:c r="B16" s="31" t="n">
        <x:v>2030</x:v>
      </x:c>
      <x:c r="C16" s="52" t="n">
        <x:v>2823.549032833769</x:v>
      </x:c>
      <x:c r="D16" s="52" t="n">
        <x:v>1055.1203582078003</x:v>
      </x:c>
      <x:c r="E16" s="52" t="n">
        <x:f>C16*D16/10000</x:f>
        <x:v>297.9184066940855</x:v>
      </x:c>
      <x:c r="F16" s="31" t="n">
        <x:v>0.97</x:v>
      </x:c>
      <x:c r="G16" s="31" t="n">
        <x:v>0.98</x:v>
      </x:c>
      <x:c r="H16" s="34" t="str">
        <x:v>一次性冲击后缓慢恢复</x:v>
      </x:c>
    </x:row>
  </x:sheetData>
  <x:pageMargins left="0.7" right="0.7" top="0.75" bottom="0.75" header="0.3" footer="0.3"/>
  <x:tableParts count="1">
    <x:tablePart xmlns:r="http://schemas.openxmlformats.org/officeDocument/2006/relationships" r:id="Re7b49e8a55654dae"/>
  </x:tableParts>
</x:worksheet>
</file>