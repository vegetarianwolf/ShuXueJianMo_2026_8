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37555bb59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e2049595dd5484e"/>
    <x:sheet xmlns:r="http://schemas.openxmlformats.org/officeDocument/2006/relationships" name="模型选择" sheetId="2" r:id="R2ad50770a565433c"/>
    <x:sheet xmlns:r="http://schemas.openxmlformats.org/officeDocument/2006/relationships" name="模型流程" sheetId="3" r:id="Rb3dd67716426486f"/>
    <x:sheet xmlns:r="http://schemas.openxmlformats.org/officeDocument/2006/relationships" name="原始年度数据" sheetId="4" r:id="R14971e7872f4435c"/>
    <x:sheet xmlns:r="http://schemas.openxmlformats.org/officeDocument/2006/relationships" name="补充假设" sheetId="5" r:id="Rfe1f812181a34996"/>
    <x:sheet xmlns:r="http://schemas.openxmlformats.org/officeDocument/2006/relationships" name="预处理结果" sheetId="6" r:id="Red9211c0d1034cfc"/>
    <x:sheet xmlns:r="http://schemas.openxmlformats.org/officeDocument/2006/relationships" name="异常检测" sheetId="7" r:id="Rf8b65ace6d1e4e60"/>
    <x:sheet xmlns:r="http://schemas.openxmlformats.org/officeDocument/2006/relationships" name="趋势图" sheetId="8" r:id="R78fd8eb902aa40b9"/>
    <x:sheet xmlns:r="http://schemas.openxmlformats.org/officeDocument/2006/relationships" name="数据补充" sheetId="9" r:id="R2cbdcea7bc0244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%"/>
    <x:numFmt numFmtId="203" formatCode="0.000"/>
  </x:numFmts>
  <x:fonts count="11">
    <x:font>
      <x:sz val="11"/>
      <x:name val="Carlito"/>
    </x:font>
    <x:font>
      <x:b/>
      <x:sz val="18"/>
      <x:color rgb="FFFFFFFF"/>
      <x:name val="Carlito"/>
    </x:font>
    <x:font>
      <x:sz val="11"/>
      <x:color rgb="FF16324F"/>
      <x:name val="Carlito"/>
    </x:font>
    <x:font>
      <x:b/>
      <x:sz val="12"/>
      <x:color rgb="FF16324F"/>
      <x:name val="Carlito"/>
    </x:font>
    <x:font>
      <x:b/>
      <x:sz val="11"/>
      <x:color rgb="FF53606B"/>
      <x:name val="Carlito"/>
    </x:font>
    <x:font>
      <x:b/>
      <x:sz val="15"/>
      <x:color rgb="FF16324F"/>
      <x:name val="Carlito"/>
    </x:font>
    <x:font>
      <x:b/>
      <x:sz val="11"/>
      <x:color rgb="FF16324F"/>
      <x:name val="Carlito"/>
    </x:font>
    <x:font>
      <x:b/>
      <x:sz val="11"/>
      <x:color rgb="FF0F6B78"/>
      <x:name val="Carlito"/>
    </x:font>
    <x:font>
      <x:b/>
      <x:sz val="11"/>
      <x:color rgb="FFFFFFFF"/>
      <x:name val="Carlito"/>
    </x:font>
    <x:font>
      <x:b/>
      <x:sz val="20"/>
      <x:color rgb="FF2A6F97"/>
      <x:name val="Carlito"/>
    </x:font>
    <x:font>
      <x:sz val="11"/>
      <x:color rgb="FF53606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8DD"/>
      </x:patternFill>
    </x:fill>
    <x:fill>
      <x:patternFill patternType="solid">
        <x:fgColor rgb="FFEAF3F8"/>
      </x:patternFill>
    </x:fill>
    <x:fill>
      <x:patternFill patternType="solid">
        <x:fgColor rgb="FFFFF2E5"/>
      </x:patternFill>
    </x:fill>
    <x:fill>
      <x:patternFill patternType="solid">
        <x:fgColor rgb="FFFCEBE8"/>
      </x:patternFill>
    </x:fill>
    <x:fill>
      <x:patternFill patternType="solid">
        <x:fgColor rgb="FF0F6B78"/>
      </x:patternFill>
    </x:fill>
    <x:fill>
      <x:patternFill patternType="solid">
        <x:fgColor rgb="FFF3F5F7"/>
      </x:patternFill>
    </x:fill>
    <x:fill>
      <x:patternFill patternType="solid">
        <x:fgColor rgb="FFE8F5F1"/>
      </x:patternFill>
    </x:fill>
  </x:fills>
  <x:borders count="17">
    <x:border/>
    <x:border>
      <x:left style="thin">
        <x:color rgb="FFD7DEE5"/>
      </x:left>
      <x:top style="thin">
        <x:color rgb="FFD7DEE5"/>
      </x:top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bottom style="thin">
        <x:color rgb="FFD7DEE5"/>
      </x:bottom>
    </x:border>
    <x:border>
      <x:bottom style="thin">
        <x:color rgb="FFD7DEE5"/>
      </x:bottom>
    </x:border>
    <x:border>
      <x:top style="thin">
        <x:color rgb="FFD7DEE5"/>
      </x:top>
      <x:bottom style="thin">
        <x:color rgb="FFD7DEE5"/>
      </x:bottom>
    </x:border>
    <x:border>
      <x:top style="thin">
        <x:color rgb="FFD7DEE5"/>
      </x:top>
    </x:border>
    <x:border>
      <x:right style="thin">
        <x:color rgb="FFB7C6CE"/>
      </x:right>
    </x:border>
    <x:border>
      <x:left style="thin">
        <x:color rgb="FFB7C6CE"/>
      </x:left>
      <x:right style="thin">
        <x:color rgb="FFB7C6CE"/>
      </x:right>
    </x:border>
    <x:border>
      <x:left style="thin">
        <x:color rgb="FFB7C6CE"/>
      </x:left>
    </x:border>
    <x:border>
      <x:left style="thin">
        <x:color rgb="FF2A9D8F"/>
      </x:left>
      <x:right style="thin">
        <x:color rgb="FF2A9D8F"/>
      </x:right>
      <x:top style="thin">
        <x:color rgb="FF2A9D8F"/>
      </x:top>
    </x:border>
    <x:border>
      <x:left style="thin">
        <x:color rgb="FF2A9D8F"/>
      </x:left>
      <x:right style="thin">
        <x:color rgb="FF2A9D8F"/>
      </x:right>
    </x:border>
    <x:border>
      <x:left style="thin">
        <x:color rgb="FF2A9D8F"/>
      </x:left>
      <x:right style="thin">
        <x:color rgb="FF2A9D8F"/>
      </x:right>
      <x:bottom style="thin">
        <x:color rgb="FF2A9D8F"/>
      </x:bottom>
    </x:border>
    <x:border>
      <x:left style="medium">
        <x:color rgb="FFF4A261"/>
      </x:left>
      <x:right style="medium">
        <x:color rgb="FFF4A261"/>
      </x:right>
      <x:top style="medium">
        <x:color rgb="FFF4A261"/>
      </x:top>
    </x:border>
    <x:border>
      <x:left style="medium">
        <x:color rgb="FFF4A261"/>
      </x:left>
      <x:right style="medium">
        <x:color rgb="FFF4A261"/>
      </x:right>
    </x:border>
    <x:border>
      <x:left style="medium">
        <x:color rgb="FFF4A261"/>
      </x:left>
      <x:right style="medium">
        <x:color rgb="FFF4A261"/>
      </x:right>
      <x:bottom style="medium">
        <x:color rgb="FFF4A261"/>
      </x:bottom>
    </x:border>
  </x:borders>
  <x:cellStyleXfs count="1">
    <x:xf numFmtId="0" fontId="0" fillId="0" borderId="0"/>
  </x:cellStyleXfs>
  <x:cellXfs count="1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1" xfId="0" applyNumberFormat="1" applyFont="1" applyFill="1" applyBorder="1" applyAlignment="1">
      <x:alignment horizontal="center"/>
    </x:xf>
    <x:xf numFmtId="0" fontId="0" fillId="4" borderId="2" xfId="0" applyNumberFormat="1" applyFont="1" applyFill="1" applyBorder="1" applyAlignment="1">
      <x:alignment horizontal="center"/>
    </x:xf>
    <x:xf numFmtId="0" fontId="0" fillId="4" borderId="3" xfId="0" applyNumberFormat="1" applyFont="1" applyFill="1" applyBorder="1" applyAlignment="1">
      <x:alignment horizontal="center"/>
    </x:xf>
    <x:xf numFmtId="0" fontId="0" fillId="4" borderId="4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 applyAlignment="1">
      <x:alignment horizontal="center" vertical="center"/>
    </x:xf>
    <x:xf numFmtId="0" fontId="0" fillId="4" borderId="3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0" fillId="5" borderId="2" xfId="0" applyNumberFormat="1" applyFont="1" applyFill="1" applyBorder="1" applyAlignment="1">
      <x:alignment horizontal="center"/>
    </x:xf>
    <x:xf numFmtId="0" fontId="0" fillId="5" borderId="3" xfId="0" applyNumberFormat="1" applyFont="1" applyFill="1" applyBorder="1" applyAlignment="1">
      <x:alignment horizontal="center"/>
    </x:xf>
    <x:xf numFmtId="0" fontId="0" fillId="5" borderId="4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 applyAlignment="1">
      <x:alignment horizontal="center" vertical="center"/>
    </x:xf>
    <x:xf numFmtId="0" fontId="0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1" xfId="0" applyNumberFormat="1" applyFont="1" applyFill="1" applyBorder="1" applyAlignment="1">
      <x:alignment horizontal="center"/>
    </x:xf>
    <x:xf numFmtId="0" fontId="0" fillId="6" borderId="2" xfId="0" applyNumberFormat="1" applyFont="1" applyFill="1" applyBorder="1" applyAlignment="1">
      <x:alignment horizontal="center"/>
    </x:xf>
    <x:xf numFmtId="0" fontId="0" fillId="6" borderId="3" xfId="0" applyNumberFormat="1" applyFont="1" applyFill="1" applyBorder="1" applyAlignment="1">
      <x:alignment horizontal="center"/>
    </x:xf>
    <x:xf numFmtId="0" fontId="0" fillId="6" borderId="4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0" fillId="6" borderId="2" xfId="0" applyNumberFormat="1" applyFont="1" applyFill="1" applyBorder="1" applyAlignment="1">
      <x:alignment horizontal="center" vertical="center"/>
    </x:xf>
    <x:xf numFmtId="0" fontId="0" fillId="6" borderId="3" xfId="0" applyNumberFormat="1" applyFont="1" applyFill="1" applyBorder="1" applyAlignment="1">
      <x:alignment horizontal="center" vertical="center"/>
    </x:xf>
    <x:xf numFmtId="0" fontId="0" fillId="6" borderId="4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5" fillId="6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10" xfId="0" applyNumberFormat="1" applyFont="1" applyFill="1" applyBorder="1"/>
    <x:xf numFmtId="0" fontId="8" fillId="7" borderId="8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10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horizontal="center" wrapText="1"/>
    </x:xf>
    <x:xf numFmtId="0" fontId="8" fillId="7" borderId="9" xfId="0" applyNumberFormat="1" applyFont="1" applyFill="1" applyBorder="1" applyAlignment="1">
      <x:alignment horizontal="center" wrapText="1"/>
    </x:xf>
    <x:xf numFmtId="0" fontId="8" fillId="7" borderId="10" xfId="0" applyNumberFormat="1" applyFont="1" applyFill="1" applyBorder="1" applyAlignment="1">
      <x:alignment horizontal="center" wrapText="1"/>
    </x:xf>
    <x:xf numFmtId="0" fontId="8" fillId="7" borderId="8" xfId="0" applyNumberFormat="1" applyFont="1" applyFill="1" applyBorder="1" applyAlignment="1">
      <x:alignment horizontal="center" vertical="center" wrapText="1"/>
    </x:xf>
    <x:xf numFmtId="0" fontId="8" fillId="7" borderId="9" xfId="0" applyNumberFormat="1" applyFont="1" applyFill="1" applyBorder="1" applyAlignment="1">
      <x:alignment horizontal="center" vertical="center" wrapText="1"/>
    </x:xf>
    <x:xf numFmtId="0" fontId="8" fillId="7" borderId="10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0" fontId="6" fillId="4" borderId="7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horizontal="center" vertical="top" wrapText="1"/>
    </x:xf>
    <x:xf numFmtId="0" fontId="6" fillId="4" borderId="6" xfId="0" applyNumberFormat="1" applyFont="1" applyFill="1" applyBorder="1" applyAlignment="1">
      <x:alignment horizontal="center" vertical="top" wrapText="1"/>
    </x:xf>
    <x:xf numFmtId="0" fontId="6" fillId="4" borderId="7" xfId="0" applyNumberFormat="1" applyFont="1" applyFill="1" applyBorder="1" applyAlignment="1">
      <x:alignment horizontal="center" vertical="top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6" fillId="4" borderId="7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6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0" fontId="6" fillId="8" borderId="5" xfId="0" applyNumberFormat="1" applyFont="1" applyFill="1" applyBorder="1" applyAlignment="1">
      <x:alignment vertical="top" wrapText="1"/>
    </x:xf>
    <x:xf numFmtId="0" fontId="6" fillId="8" borderId="6" xfId="0" applyNumberFormat="1" applyFont="1" applyFill="1" applyBorder="1" applyAlignment="1">
      <x:alignment vertical="top" wrapText="1"/>
    </x:xf>
    <x:xf numFmtId="0" fontId="6" fillId="8" borderId="7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11" xfId="0" applyNumberFormat="1" applyFont="1" applyFill="1" applyBorder="1"/>
    <x:xf numFmtId="0" fontId="6" fillId="9" borderId="12" xfId="0" applyNumberFormat="1" applyFont="1" applyFill="1" applyBorder="1"/>
    <x:xf numFmtId="0" fontId="6" fillId="9" borderId="13" xfId="0" applyNumberFormat="1" applyFont="1" applyFill="1" applyBorder="1"/>
    <x:xf numFmtId="0" fontId="6" fillId="9" borderId="11" xfId="0" applyNumberFormat="1" applyFont="1" applyFill="1" applyBorder="1" applyAlignment="1">
      <x:alignment wrapText="1"/>
    </x:xf>
    <x:xf numFmtId="0" fontId="6" fillId="9" borderId="12" xfId="0" applyNumberFormat="1" applyFont="1" applyFill="1" applyBorder="1" applyAlignment="1">
      <x:alignment wrapText="1"/>
    </x:xf>
    <x:xf numFmtId="0" fontId="6" fillId="9" borderId="13" xfId="0" applyNumberFormat="1" applyFont="1" applyFill="1" applyBorder="1" applyAlignment="1">
      <x:alignment wrapText="1"/>
    </x:xf>
    <x:xf numFmtId="0" fontId="6" fillId="9" borderId="11" xfId="0" applyNumberFormat="1" applyFont="1" applyFill="1" applyBorder="1" applyAlignment="1">
      <x:alignment horizontal="center" wrapText="1"/>
    </x:xf>
    <x:xf numFmtId="0" fontId="6" fillId="9" borderId="12" xfId="0" applyNumberFormat="1" applyFont="1" applyFill="1" applyBorder="1" applyAlignment="1">
      <x:alignment horizontal="center" wrapText="1"/>
    </x:xf>
    <x:xf numFmtId="0" fontId="6" fillId="9" borderId="13" xfId="0" applyNumberFormat="1" applyFont="1" applyFill="1" applyBorder="1" applyAlignment="1">
      <x:alignment horizontal="center" wrapText="1"/>
    </x:xf>
    <x:xf numFmtId="0" fontId="6" fillId="9" borderId="11" xfId="0" applyNumberFormat="1" applyFont="1" applyFill="1" applyBorder="1" applyAlignment="1">
      <x:alignment horizontal="center" vertical="center" wrapText="1"/>
    </x:xf>
    <x:xf numFmtId="0" fontId="6" fillId="9" borderId="12" xfId="0" applyNumberFormat="1" applyFont="1" applyFill="1" applyBorder="1" applyAlignment="1">
      <x:alignment horizontal="center" vertical="center" wrapText="1"/>
    </x:xf>
    <x:xf numFmtId="0" fontId="6" fillId="9" borderId="13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4" xfId="0" applyNumberFormat="1" applyFont="1" applyFill="1" applyBorder="1"/>
    <x:xf numFmtId="0" fontId="6" fillId="3" borderId="15" xfId="0" applyNumberFormat="1" applyFont="1" applyFill="1" applyBorder="1"/>
    <x:xf numFmtId="0" fontId="6" fillId="3" borderId="16" xfId="0" applyNumberFormat="1" applyFont="1" applyFill="1" applyBorder="1"/>
    <x:xf numFmtId="0" fontId="6" fillId="3" borderId="14" xfId="0" applyNumberFormat="1" applyFont="1" applyFill="1" applyBorder="1" applyAlignment="1">
      <x:alignment wrapText="1"/>
    </x:xf>
    <x:xf numFmtId="0" fontId="6" fillId="3" borderId="15" xfId="0" applyNumberFormat="1" applyFont="1" applyFill="1" applyBorder="1" applyAlignment="1">
      <x:alignment wrapText="1"/>
    </x:xf>
    <x:xf numFmtId="0" fontId="6" fillId="3" borderId="16" xfId="0" applyNumberFormat="1" applyFont="1" applyFill="1" applyBorder="1" applyAlignment="1">
      <x:alignment wrapText="1"/>
    </x:xf>
    <x:xf numFmtId="0" fontId="6" fillId="3" borderId="14" xfId="0" applyNumberFormat="1" applyFont="1" applyFill="1" applyBorder="1" applyAlignment="1">
      <x:alignment horizontal="center" wrapText="1"/>
    </x:xf>
    <x:xf numFmtId="0" fontId="6" fillId="3" borderId="15" xfId="0" applyNumberFormat="1" applyFont="1" applyFill="1" applyBorder="1" applyAlignment="1">
      <x:alignment horizontal="center" wrapText="1"/>
    </x:xf>
    <x:xf numFmtId="0" fontId="6" fillId="3" borderId="16" xfId="0" applyNumberFormat="1" applyFont="1" applyFill="1" applyBorder="1" applyAlignment="1">
      <x:alignment horizontal="center" wrapText="1"/>
    </x:xf>
    <x:xf numFmtId="0" fontId="6" fillId="3" borderId="14" xfId="0" applyNumberFormat="1" applyFont="1" applyFill="1" applyBorder="1" applyAlignment="1">
      <x:alignment horizontal="center" vertical="center" wrapText="1"/>
    </x:xf>
    <x:xf numFmtId="0" fontId="6" fillId="3" borderId="15" xfId="0" applyNumberFormat="1" applyFont="1" applyFill="1" applyBorder="1" applyAlignment="1">
      <x:alignment horizontal="center" vertical="center" wrapText="1"/>
    </x:xf>
    <x:xf numFmtId="0" fontId="6" fillId="3" borderId="16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vertical="top" wrapText="1"/>
    </x:xf>
    <x:xf numFmtId="201" fontId="0" fillId="3" borderId="6" xfId="0" applyNumberFormat="1" applyFont="1" applyFill="1" applyBorder="1" applyAlignment="1">
      <x:alignment vertical="top" wrapText="1"/>
    </x:xf>
    <x:xf numFmtId="201" fontId="6" fillId="3" borderId="6" xfId="0" applyNumberFormat="1" applyFont="1" applyFill="1" applyBorder="1" applyAlignment="1">
      <x:alignment vertical="top" wrapText="1"/>
    </x:xf>
    <x:xf numFmtId="202" fontId="0" fillId="3" borderId="6" xfId="0" applyNumberFormat="1" applyFont="1" applyFill="1" applyBorder="1" applyAlignment="1">
      <x:alignment vertical="top" wrapText="1"/>
    </x:xf>
    <x:xf numFmtId="202" fontId="6" fillId="3" borderId="6" xfId="0" applyNumberFormat="1" applyFont="1" applyFill="1" applyBorder="1" applyAlignment="1">
      <x:alignment vertical="top" wrapText="1"/>
    </x:xf>
    <x:xf numFmtId="0" fontId="0" fillId="9" borderId="6" xfId="0" applyNumberFormat="1" applyFont="1" applyFill="1" applyBorder="1" applyAlignment="1">
      <x:alignment vertical="top" wrapText="1"/>
    </x:xf>
    <x:xf numFmtId="201" fontId="0" fillId="9" borderId="6" xfId="0" applyNumberFormat="1" applyFont="1" applyFill="1" applyBorder="1" applyAlignment="1">
      <x:alignment vertical="top" wrapText="1"/>
    </x:xf>
    <x:xf numFmtId="0" fontId="0" fillId="9" borderId="7" xfId="0" applyNumberFormat="1" applyFont="1" applyFill="1" applyBorder="1" applyAlignment="1">
      <x:alignment vertical="top" wrapText="1"/>
    </x:xf>
    <x:xf numFmtId="201" fontId="0" fillId="9" borderId="7" xfId="0" applyNumberFormat="1" applyFont="1" applyFill="1" applyBorder="1" applyAlignment="1">
      <x:alignment vertical="top" wrapText="1"/>
    </x:xf>
    <x:xf numFmtId="202" fontId="0" fillId="0" borderId="5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  <x:xf numFmtId="203" fontId="0" fillId="0" borderId="5" xfId="0" applyNumberFormat="1" applyFont="1" applyFill="1" applyBorder="1" applyAlignment="1">
      <x:alignment vertical="top" wrapText="1"/>
    </x:xf>
    <x:xf numFmtId="203" fontId="0" fillId="0" borderId="6" xfId="0" applyNumberFormat="1" applyFont="1" applyFill="1" applyBorder="1" applyAlignment="1">
      <x:alignment vertical="top" wrapText="1"/>
    </x:xf>
    <x:xf numFmtId="203" fontId="0" fillId="0" borderId="7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9" borderId="5" xfId="0" applyNumberFormat="1" applyFont="1" applyFill="1" applyBorder="1"/>
    <x:xf numFmtId="0" fontId="0" fillId="9" borderId="6" xfId="0" applyNumberFormat="1" applyFont="1" applyFill="1" applyBorder="1"/>
    <x:xf numFmtId="0" fontId="0" fillId="9" borderId="7" xfId="0" applyNumberFormat="1" applyFont="1" applyFill="1" applyBorder="1"/>
    <x:xf numFmtId="202" fontId="0" fillId="4" borderId="5" xfId="0" applyNumberFormat="1" applyFont="1" applyFill="1" applyBorder="1"/>
    <x:xf numFmtId="202" fontId="0" fillId="4" borderId="6" xfId="0" applyNumberFormat="1" applyFont="1" applyFill="1" applyBorder="1"/>
    <x:xf numFmtId="202" fontId="0" fillId="4" borderId="7" xfId="0" applyNumberFormat="1" applyFont="1" applyFill="1" applyBorder="1"/>
    <x:xf numFmtId="202" fontId="0" fillId="9" borderId="5" xfId="0" applyNumberFormat="1" applyFont="1" applyFill="1" applyBorder="1"/>
    <x:xf numFmtId="202" fontId="0" fillId="9" borderId="6" xfId="0" applyNumberFormat="1" applyFont="1" applyFill="1" applyBorder="1"/>
    <x:xf numFmtId="202" fontId="0" fillId="9" borderId="7" xfId="0" applyNumberFormat="1" applyFont="1" applyFill="1" applyBorder="1"/>
  </x:cellXfs>
  <x:cellStyles count="1">
    <x:cellStyle name="Normal" xfId="0"/>
  </x:cellStyles>
  <x:dxfs count="6">
    <x:dxf>
      <x:font>
        <x:color rgb="FF16324F"/>
      </x:font>
      <x:fill>
        <x:patternFill patternType="solid">
          <x:bgColor rgb="FFFFF8DD"/>
        </x:patternFill>
      </x:fill>
    </x:dxf>
    <x:dxf>
      <x:font>
        <x:b/>
        <x:color rgb="FF9F2D20"/>
      </x:font>
      <x:fill>
        <x:patternFill patternType="solid">
          <x:bgColor rgb="FFFCEBE8"/>
        </x:patternFill>
      </x:fill>
    </x:dxf>
    <x:dxf>
      <x:font>
        <x:b/>
      </x:font>
      <x:fill>
        <x:patternFill patternType="solid">
          <x:bgColor rgb="FFFFF2E5"/>
        </x:patternFill>
      </x:fill>
    </x:dxf>
    <x:dxf>
      <x:font>
        <x:b/>
        <x:color rgb="FF9F2D20"/>
      </x:font>
      <x:fill>
        <x:patternFill patternType="solid">
          <x:bgColor rgb="FFFCEBE8"/>
        </x:patternFill>
      </x:fill>
    </x:dxf>
    <x:dxf>
      <x:font>
        <x:b/>
        <x:color rgb="FF9F2D20"/>
      </x:font>
      <x:fill>
        <x:patternFill patternType="solid">
          <x:bgColor rgb="FFFCEBE8"/>
        </x:patternFill>
      </x:fill>
    </x:dxf>
    <x:dxf>
      <x:font>
        <x:b/>
        <x:color rgb="FF176B55"/>
      </x:font>
      <x:fill>
        <x:patternFill patternType="solid">
          <x:bgColor rgb="FFE8F5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ffe43a6ad44c0" /><Relationship Type="http://schemas.openxmlformats.org/officeDocument/2006/relationships/theme" Target="/xl/theme/theme1.xml" Id="R6affbc8f2ac4471b" /><Relationship Type="http://schemas.openxmlformats.org/officeDocument/2006/relationships/sharedStrings" Target="/xl/sharedStrings.xml" Id="R5bd8e85f75a94ef2" /><Relationship Type="http://schemas.openxmlformats.org/officeDocument/2006/relationships/worksheet" Target="/xl/worksheets/sheet1.xml" Id="R8e2049595dd5484e" /><Relationship Type="http://schemas.openxmlformats.org/officeDocument/2006/relationships/worksheet" Target="/xl/worksheets/sheet2.xml" Id="R2ad50770a565433c" /><Relationship Type="http://schemas.openxmlformats.org/officeDocument/2006/relationships/worksheet" Target="/xl/worksheets/sheet3.xml" Id="Rb3dd67716426486f" /><Relationship Type="http://schemas.openxmlformats.org/officeDocument/2006/relationships/worksheet" Target="/xl/worksheets/sheet4.xml" Id="R14971e7872f4435c" /><Relationship Type="http://schemas.openxmlformats.org/officeDocument/2006/relationships/worksheet" Target="/xl/worksheets/sheet5.xml" Id="Rfe1f812181a34996" /><Relationship Type="http://schemas.openxmlformats.org/officeDocument/2006/relationships/worksheet" Target="/xl/worksheets/sheet6.xml" Id="Red9211c0d1034cfc" /><Relationship Type="http://schemas.openxmlformats.org/officeDocument/2006/relationships/worksheet" Target="/xl/worksheets/sheet7.xml" Id="Rf8b65ace6d1e4e60" /><Relationship Type="http://schemas.openxmlformats.org/officeDocument/2006/relationships/worksheet" Target="/xl/worksheets/sheet8.xml" Id="R78fd8eb902aa40b9" /><Relationship Type="http://schemas.openxmlformats.org/officeDocument/2006/relationships/worksheet" Target="/xl/worksheets/sheet9.xml" Id="R2cbdcea7bc0244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e3725694814f5c" /><Relationship Type="http://schemas.openxmlformats.org/officeDocument/2006/relationships/chart" Target="/xl/drawings/charts/chart2.xml" Id="R845b9ae2049a4f5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cab88fff0284bc3" /><Relationship Type="http://schemas.openxmlformats.org/officeDocument/2006/relationships/chart" Target="/xl/drawings/charts/chart4.xml" Id="R2eeb08bb8c144e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游客量同比与IQR判定边界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游客量同比</c:v>
          </c:tx>
          <c:marker>
            <c:symbol val="none"/>
          </c:marker>
          <c:cat>
            <c:strRef>
              <c:f>'异常检测'!$A$31:$A$46</c:f>
              <c:strCache>
                <c:ptCount val="0"/>
              </c:strCache>
            </c:strRef>
          </c:cat>
          <c:val>
            <c:numRef>
              <c:f>'异常检测'!$B$31:$B$46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IQR下界</c:v>
          </c:tx>
          <c:marker>
            <c:symbol val="none"/>
          </c:marker>
          <c:cat>
            <c:strRef>
              <c:f>'异常检测'!$A$31:$A$46</c:f>
              <c:strCache>
                <c:ptCount val="0"/>
              </c:strCache>
            </c:strRef>
          </c:cat>
          <c:val>
            <c:numRef>
              <c:f>'异常检测'!$C$31:$C$46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IQR上界</c:v>
          </c:tx>
          <c:marker>
            <c:symbol val="none"/>
          </c:marker>
          <c:cat>
            <c:strRef>
              <c:f>'异常检测'!$A$31:$A$46</c:f>
              <c:strCache>
                <c:ptCount val="0"/>
              </c:strCache>
            </c:strRef>
          </c:cat>
          <c:val>
            <c:numRef>
              <c:f>'异常检测'!$D$31:$D$46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综合收入同比与IQR判定边界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综合收入同比</c:v>
          </c:tx>
          <c:marker>
            <c:symbol val="none"/>
          </c:marker>
          <c:cat>
            <c:strRef>
              <c:f>'异常检测'!$F$31:$F$46</c:f>
              <c:strCache>
                <c:ptCount val="0"/>
              </c:strCache>
            </c:strRef>
          </c:cat>
          <c:val>
            <c:numRef>
              <c:f>'异常检测'!$G$31:$G$46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IQR下界</c:v>
          </c:tx>
          <c:marker>
            <c:symbol val="none"/>
          </c:marker>
          <c:cat>
            <c:strRef>
              <c:f>'异常检测'!$F$31:$F$46</c:f>
              <c:strCache>
                <c:ptCount val="0"/>
              </c:strCache>
            </c:strRef>
          </c:cat>
          <c:val>
            <c:numRef>
              <c:f>'异常检测'!$H$31:$H$46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IQR上界</c:v>
          </c:tx>
          <c:marker>
            <c:symbol val="none"/>
          </c:marker>
          <c:cat>
            <c:strRef>
              <c:f>'异常检测'!$F$31:$F$46</c:f>
              <c:strCache>
                <c:ptCount val="0"/>
              </c:strCache>
            </c:strRef>
          </c:cat>
          <c:val>
            <c:numRef>
              <c:f>'异常检测'!$I$31:$I$46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游客量：原始缺口与约束补全（万人次）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游客原始</c:v>
          </c:tx>
          <c:marker>
            <c:symbol val="none"/>
          </c:marker>
          <c:cat>
            <c:strRef>
              <c:f>'趋势图'!$A$5:$A$20</c:f>
              <c:strCache>
                <c:ptCount val="0"/>
              </c:strCache>
            </c:strRef>
          </c:cat>
          <c:val>
            <c:numRef>
              <c:f>'趋势图'!$B$5:$B$20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游客清洗</c:v>
          </c:tx>
          <c:marker>
            <c:symbol val="none"/>
          </c:marker>
          <c:cat>
            <c:strRef>
              <c:f>'趋势图'!$A$5:$A$20</c:f>
              <c:strCache>
                <c:ptCount val="0"/>
              </c:strCache>
            </c:strRef>
          </c:cat>
          <c:val>
            <c:numRef>
              <c:f>'趋势图'!$C$5:$C$20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旅游综合收入：原始缺口与约束补全（亿元）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综合收入原始</c:v>
          </c:tx>
          <c:marker>
            <c:symbol val="none"/>
          </c:marker>
          <c:cat>
            <c:strRef>
              <c:f>'趋势图'!$A$5:$A$20</c:f>
              <c:strCache>
                <c:ptCount val="0"/>
              </c:strCache>
            </c:strRef>
          </c:cat>
          <c:val>
            <c:numRef>
              <c:f>'趋势图'!$D$5:$D$20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综合收入清洗</c:v>
          </c:tx>
          <c:marker>
            <c:symbol val="none"/>
          </c:marker>
          <c:cat>
            <c:strRef>
              <c:f>'趋势图'!$A$5:$A$20</c:f>
              <c:strCache>
                <c:ptCount val="0"/>
              </c:strCache>
            </c:strRef>
          </c:cat>
          <c:val>
            <c:numRef>
              <c:f>'趋势图'!$E$5:$E$20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e3725694814f5c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5b9ae2049a4f5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ab88fff0284bc3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eb08bb8c144e5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delSelectionTable" displayName="ModelSelectionTable" ref="A4:G10" headerRowCount="1" totalsRowCount="0" totalsRowShown="0">
  <x:tableColumns count="7">
    <x:tableColumn id="1" name="小问"/>
    <x:tableColumn id="2" name="方案"/>
    <x:tableColumn id="3" name="推荐模型"/>
    <x:tableColumn id="4" name="核心原理"/>
    <x:tableColumn id="5" name="适配性"/>
    <x:tableColumn id="6" name="创新点"/>
    <x:tableColumn id="7" name="局限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AnnualTable" displayName="RawAnnualTable" ref="A3:M19" headerRowCount="1" totalsRowCount="0" totalsRowShown="0">
  <x:tableColumns count="13">
    <x:tableColumn id="1" name="年份"/>
    <x:tableColumn id="2" name="游客量(万人次)"/>
    <x:tableColumn id="3" name="游客状态"/>
    <x:tableColumn id="4" name="直接收入(亿元)"/>
    <x:tableColumn id="5" name="直接收入状态"/>
    <x:tableColumn id="6" name="综合收入(亿元)"/>
    <x:tableColumn id="7" name="综合收入状态"/>
    <x:tableColumn id="8" name="GDP(亿元)"/>
    <x:tableColumn id="9" name="GDP状态"/>
    <x:tableColumn id="10" name="第三产业(亿元)"/>
    <x:tableColumn id="11" name="第三产业状态"/>
    <x:tableColumn id="12" name="来源ID"/>
    <x:tableColumn id="13" name="质量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sumptionTable" displayName="AssumptionTable" ref="A3:G23" headerRowCount="1" totalsRowCount="0" totalsRowShown="0">
  <x:tableColumns count="7">
    <x:tableColumn id="1" name="参数"/>
    <x:tableColumn id="2" name="数值"/>
    <x:tableColumn id="3" name="单位"/>
    <x:tableColumn id="4" name="类型"/>
    <x:tableColumn id="5" name="依据/计算逻辑"/>
    <x:tableColumn id="6" name="可编辑"/>
    <x:tableColumn id="7" name="建议敏感性范围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ProcessedModelData" displayName="ProcessedModelData" ref="A3:AD19" headerRowCount="1" totalsRowCount="0" totalsRowShown="0">
  <x:tableColumns count="30">
    <x:tableColumn id="1" name="年份"/>
    <x:tableColumn id="2" name="游客原始"/>
    <x:tableColumn id="3" name="直接收入原始"/>
    <x:tableColumn id="4" name="综合收入原始"/>
    <x:tableColumn id="5" name="GDP原始"/>
    <x:tableColumn id="6" name="第三产业原始"/>
    <x:tableColumn id="7" name="游客状态"/>
    <x:tableColumn id="8" name="综合收入状态"/>
    <x:tableColumn id="9" name="GDP状态"/>
    <x:tableColumn id="10" name="第三产业状态"/>
    <x:tableColumn id="11" name="游客清洗值"/>
    <x:tableColumn id="12" name="游客处理方法"/>
    <x:tableColumn id="13" name="综合收入清洗值"/>
    <x:tableColumn id="14" name="收入处理方法"/>
    <x:tableColumn id="15" name="GDP清洗值"/>
    <x:tableColumn id="16" name="GDP处理方法"/>
    <x:tableColumn id="17" name="第三产业清洗值"/>
    <x:tableColumn id="18" name="第三产业处理方法"/>
    <x:tableColumn id="19" name="游客同比"/>
    <x:tableColumn id="20" name="收入同比"/>
    <x:tableColumn id="21" name="游客IQR判定"/>
    <x:tableColumn id="22" name="收入IQR判定"/>
    <x:tableColumn id="23" name="疫情哑变量"/>
    <x:tableColumn id="24" name="GDP口径断点"/>
    <x:tableColumn id="25" name="游客Z"/>
    <x:tableColumn id="26" name="收入Z"/>
    <x:tableColumn id="27" name="GDP Z"/>
    <x:tableColumn id="28" name="第三产业Z"/>
    <x:tableColumn id="29" name="LN游客"/>
    <x:tableColumn id="30" name="LN收入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nomalyResultTable" displayName="AnomalyResultTable" ref="A10:E26" headerRowCount="1" totalsRowCount="0" totalsRowShown="0">
  <x:tableColumns count="5">
    <x:tableColumn id="1" name="年份"/>
    <x:tableColumn id="2" name="游客量同比"/>
    <x:tableColumn id="3" name="综合收入同比"/>
    <x:tableColumn id="4" name="游客判定"/>
    <x:tableColumn id="5" name="收入判定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rendHelperTable" displayName="TrendHelperTable" ref="A4:E20" headerRowCount="1" totalsRowCount="0" totalsRowShown="0">
  <x:tableColumns count="5">
    <x:tableColumn id="1" name="年份"/>
    <x:tableColumn id="2" name="游客原始"/>
    <x:tableColumn id="3" name="游客清洗"/>
    <x:tableColumn id="4" name="收入原始"/>
    <x:tableColumn id="5" name="收入清洗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upplementNeedsTable" displayName="SupplementNeedsTable" ref="A4:G10" headerRowCount="1" totalsRowCount="0" totalsRowShown="0">
  <x:tableColumns count="7">
    <x:tableColumn id="1" name="类别"/>
    <x:tableColumn id="2" name="变量/缺口"/>
    <x:tableColumn id="3" name="当前状态"/>
    <x:tableColumn id="4" name="为什么需要"/>
    <x:tableColumn id="5" name="推荐获取途径"/>
    <x:tableColumn id="6" name="本轮生成假设"/>
    <x:tableColumn id="7" name="不确定性处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4b863b888d4b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e0bb75da7f942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6cd97426f2b48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17c7d269b5d4e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5adf77447bd64636" /><Relationship Type="http://schemas.openxmlformats.org/officeDocument/2006/relationships/table" Target="/xl/tables/table5.xml" Id="Rfcd85f6dfd7e49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a69000c3f24c4c7c" /><Relationship Type="http://schemas.openxmlformats.org/officeDocument/2006/relationships/table" Target="/xl/tables/table6.xml" Id="Rc7e419880b0943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47526c2ffe34d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3" hidden="0" customWidth="1"/>
    <x:col min="3" max="3" width="10" hidden="0" customWidth="1"/>
    <x:col min="4" max="4" width="14" hidden="0" customWidth="1"/>
    <x:col min="5" max="5" width="30" hidden="0" customWidth="1"/>
    <x:col min="6" max="6" width="42" hidden="0" customWidth="1"/>
    <x:col min="7" max="7" width="14" hidden="0" customWidth="1"/>
    <x:col min="8" max="8" width="24" hidden="0" customWidth="1"/>
  </x:cols>
  <x:sheetData>
    <x:row r="1" ht="34" customHeight="1">
      <x:c r="A1" s="4" t="str">
        <x:v>蓟州区旅游经济：模型选择与数据预处理工作簿</x:v>
      </x:c>
    </x:row>
    <x:row r="2" ht="38" customHeight="1">
      <x:c r="A2" s="7" t="str">
        <x:v>用途：完成问题1—3的两套模型方案比较、缺失补全、异常检测、转换处理和数据补充规划。所有假设补全值均与官方观测分列保存，不会伪装成官方实际值。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关键数据诊断</x:v>
      </x:c>
    </x:row>
    <x:row r="5" ht="28" customHeight="1">
      <x:c r="A5" s="49" t="str">
        <x:v>年度样本期数</x:v>
      </x:c>
      <x:c r="B5" s="50"/>
      <x:c r="C5" s="51" t="str">
        <x:v>游客量原始缺失</x:v>
      </x:c>
      <x:c r="D5" s="52"/>
      <x:c r="E5" s="51" t="str">
        <x:v>综合收入原始缺失</x:v>
      </x:c>
      <x:c r="F5" s="52"/>
      <x:c r="G5" s="53" t="str">
        <x:v>同比IQR异常年份</x:v>
      </x:c>
      <x:c r="H5" s="54"/>
    </x:row>
    <x:row r="6" ht="28" customHeight="1">
      <x:c r="A6" s="55" t="n">
        <x:f>COUNTA('原始年度数据'!A4:A19)</x:f>
        <x:v>16</x:v>
      </x:c>
      <x:c r="B6" s="56"/>
      <x:c r="C6" s="57" t="n">
        <x:f>COUNTBLANK('原始年度数据'!B4:B19)</x:f>
        <x:v>4</x:v>
      </x:c>
      <x:c r="D6" s="58"/>
      <x:c r="E6" s="57" t="n">
        <x:f>COUNTBLANK('原始年度数据'!F4:F19)</x:f>
        <x:v>4</x:v>
      </x:c>
      <x:c r="F6" s="58"/>
      <x:c r="G6" s="59" t="str">
        <x:f>"2020、2022、2023"</x:f>
        <x:v>2020、2022、2023</x:v>
      </x:c>
      <x:c r="H6" s="60"/>
    </x:row>
    <x:row r="8">
      <x:c r="A8" s="10" t="str">
        <x:v>结论先行</x:v>
      </x:c>
    </x:row>
    <x:row r="9" ht="34" customHeight="1">
      <x:c r="A9" s="70" t="str">
        <x:v>问题1主模型</x:v>
      </x:c>
      <x:c r="B9" s="67" t="str">
        <x:v>分段Gompertz＋疫情干预＋滚动更新</x:v>
      </x:c>
      <x:c r="C9" s="73" t="str">
        <x:v>原因</x:v>
      </x:c>
      <x:c r="D9" s="67" t="str">
        <x:v>短样本、趋势明显、必须解释结构冲击</x:v>
      </x:c>
      <x:c r="E9" s="67"/>
      <x:c r="F9" s="67"/>
      <x:c r="G9" s="67"/>
      <x:c r="H9" s="67"/>
    </x:row>
    <x:row r="10" ht="34" customHeight="1">
      <x:c r="A10" s="71" t="str">
        <x:v>问题2主模型</x:v>
      </x:c>
      <x:c r="B10" s="68" t="str">
        <x:v>干预ARIMAX＋阻尼ETS滚动组合</x:v>
      </x:c>
      <x:c r="C10" s="74" t="str">
        <x:v>原因</x:v>
      </x:c>
      <x:c r="D10" s="68" t="str">
        <x:v>低参数、可检验、可给95%区间且能利用宏观变量</x:v>
      </x:c>
      <x:c r="E10" s="68"/>
      <x:c r="F10" s="68"/>
      <x:c r="G10" s="68"/>
      <x:c r="H10" s="68"/>
    </x:row>
    <x:row r="11" ht="34" customHeight="1">
      <x:c r="A11" s="71" t="str">
        <x:v>问题3主模型</x:v>
      </x:c>
      <x:c r="B11" s="68" t="str">
        <x:v>动态弹性情景＋LHS Monte Carlo</x:v>
      </x:c>
      <x:c r="C11" s="74" t="str">
        <x:v>原因</x:v>
      </x:c>
      <x:c r="D11" s="68" t="str">
        <x:v>能把政策语言转为参数区间并直接生成敏感性排序</x:v>
      </x:c>
      <x:c r="E11" s="68"/>
      <x:c r="F11" s="68"/>
      <x:c r="G11" s="68"/>
      <x:c r="H11" s="68"/>
    </x:row>
    <x:row r="12" ht="34" customHeight="1">
      <x:c r="A12" s="72" t="str">
        <x:v>不建议作为主模型</x:v>
      </x:c>
      <x:c r="B12" s="69" t="str">
        <x:v>LSTM、Transformer、XGBoost</x:v>
      </x:c>
      <x:c r="C12" s="75" t="str">
        <x:v>原因</x:v>
      </x:c>
      <x:c r="D12" s="69" t="str">
        <x:v>仅16期年度样本，深度/树模型极易过拟合且难以形成可信区间</x:v>
      </x:c>
      <x:c r="E12" s="69"/>
      <x:c r="F12" s="69"/>
      <x:c r="G12" s="69"/>
      <x:c r="H12" s="69"/>
    </x:row>
    <x:row r="14">
      <x:c r="A14" s="10" t="str">
        <x:v>数据文件与复核入口</x:v>
      </x:c>
    </x:row>
    <x:row r="15" ht="34" customHeight="1">
      <x:c r="A15" s="87" t="str">
        <x:v>文件/入口</x:v>
      </x:c>
      <x:c r="B15" s="88" t="str">
        <x:v>作用</x:v>
      </x:c>
      <x:c r="C15" s="88" t="str">
        <x:v>记录数</x:v>
      </x:c>
      <x:c r="D15" s="88" t="str">
        <x:v>时间范围</x:v>
      </x:c>
      <x:c r="E15" s="88" t="str">
        <x:v>口径提醒</x:v>
      </x:c>
      <x:c r="F15" s="88" t="str">
        <x:v>来源</x:v>
      </x:c>
      <x:c r="G15" s="88" t="str">
        <x:v>获取日期</x:v>
      </x:c>
      <x:c r="H15" s="89" t="str">
        <x:v>备注</x:v>
      </x:c>
    </x:row>
    <x:row r="16" ht="34" customHeight="1">
      <x:c r="A16" s="90" t="str">
        <x:v>official_annual_summary_2010_2025.csv</x:v>
      </x:c>
      <x:c r="B16" s="90" t="str">
        <x:v>年度优选宽表</x:v>
      </x:c>
      <x:c r="C16" s="93" t="n">
        <x:v>16</x:v>
      </x:c>
      <x:c r="D16" s="90" t="str">
        <x:v>2010—2025</x:v>
      </x:c>
      <x:c r="E16" s="90" t="str">
        <x:v>不替代长表版本信息</x:v>
      </x:c>
      <x:c r="F16" s="90" t="str">
        <x:v>本地数据目录</x:v>
      </x:c>
      <x:c r="G16" s="90" t="str">
        <x:v>2026-08-17</x:v>
      </x:c>
      <x:c r="H16" s="90" t="str">
        <x:v>本工作簿原始年度数据来源</x:v>
      </x:c>
    </x:row>
    <x:row r="17" ht="34" customHeight="1">
      <x:c r="A17" s="91" t="str">
        <x:v>official_tourism_observations_2010_2025.csv</x:v>
      </x:c>
      <x:c r="B17" s="91" t="str">
        <x:v>旅游长表</x:v>
      </x:c>
      <x:c r="C17" s="94" t="n">
        <x:v>46</x:v>
      </x:c>
      <x:c r="D17" s="91" t="str">
        <x:v>2010—2025</x:v>
      </x:c>
      <x:c r="E17" s="91" t="str">
        <x:v>直接收入与综合收入不可拼接</x:v>
      </x:c>
      <x:c r="F17" s="91" t="str">
        <x:v>本地数据目录</x:v>
      </x:c>
      <x:c r="G17" s="91" t="str">
        <x:v>2026-08-17</x:v>
      </x:c>
      <x:c r="H17" s="91" t="str">
        <x:v>含目标值和五年累计值</x:v>
      </x:c>
    </x:row>
    <x:row r="18" ht="34" customHeight="1">
      <x:c r="A18" s="91" t="str">
        <x:v>official_macro_observations_2010_2025.csv</x:v>
      </x:c>
      <x:c r="B18" s="91" t="str">
        <x:v>GDP与第三产业长表</x:v>
      </x:c>
      <x:c r="C18" s="94" t="n">
        <x:v>37</x:v>
      </x:c>
      <x:c r="D18" s="91" t="str">
        <x:v>2010—2025</x:v>
      </x:c>
      <x:c r="E18" s="91" t="str">
        <x:v>初值、预计值、年鉴修订值并存</x:v>
      </x:c>
      <x:c r="F18" s="91" t="str">
        <x:v>本地数据目录</x:v>
      </x:c>
      <x:c r="G18" s="91" t="str">
        <x:v>2026-08-17</x:v>
      </x:c>
      <x:c r="H18" s="91" t="str">
        <x:v>优先最终/修订值</x:v>
      </x:c>
    </x:row>
    <x:row r="19" ht="34" customHeight="1">
      <x:c r="A19" s="91" t="str">
        <x:v>official_related_observations_2014_2025.csv</x:v>
      </x:c>
      <x:c r="B19" s="91" t="str">
        <x:v>相关解释变量</x:v>
      </x:c>
      <x:c r="C19" s="94" t="n">
        <x:v>37</x:v>
      </x:c>
      <x:c r="D19" s="91" t="str">
        <x:v>2014—2025</x:v>
      </x:c>
      <x:c r="E19" s="91" t="str">
        <x:v>多数指标覆盖不完整</x:v>
      </x:c>
      <x:c r="F19" s="91" t="str">
        <x:v>本地数据目录</x:v>
      </x:c>
      <x:c r="G19" s="91" t="str">
        <x:v>2026-08-17</x:v>
      </x:c>
      <x:c r="H19" s="91" t="str">
        <x:v>用于候选外生变量筛选</x:v>
      </x:c>
    </x:row>
    <x:row r="20" ht="34" customHeight="1">
      <x:c r="A20" s="91" t="str">
        <x:v>蓟州区政府数据发布</x:v>
      </x:c>
      <x:c r="B20" s="91" t="str">
        <x:v>官方补数入口</x:v>
      </x:c>
      <x:c r="C20" s="91"/>
      <x:c r="D20" s="91"/>
      <x:c r="E20" s="91"/>
      <x:c r="F20" s="91" t="str">
        <x:v>https://www.tjjz.gov.cn/zwgk/sjfb/</x:v>
      </x:c>
      <x:c r="G20" s="91"/>
      <x:c r="H20" s="91"/>
    </x:row>
    <x:row r="21" ht="34" customHeight="1">
      <x:c r="A21" s="91" t="str">
        <x:v>天津统计年鉴</x:v>
      </x:c>
      <x:c r="B21" s="91" t="str">
        <x:v>宏观修订值</x:v>
      </x:c>
      <x:c r="C21" s="91"/>
      <x:c r="D21" s="91"/>
      <x:c r="E21" s="91"/>
      <x:c r="F21" s="91" t="str">
        <x:v>https://stats.tj.gov.cn/tjsj_52032/tjnj/</x:v>
      </x:c>
      <x:c r="G21" s="91"/>
      <x:c r="H21" s="91"/>
    </x:row>
    <x:row r="22" ht="34" customHeight="1">
      <x:c r="A22" s="92" t="str">
        <x:v>天津市文旅局统计信息</x:v>
      </x:c>
      <x:c r="B22" s="92" t="str">
        <x:v>文旅供给与结构校验</x:v>
      </x:c>
      <x:c r="C22" s="92"/>
      <x:c r="D22" s="92"/>
      <x:c r="E22" s="92"/>
      <x:c r="F22" s="92" t="str">
        <x:v>https://whly.tj.gov.cn/ZWGKYXXGK1640/ZFXXGK5456_1/FDZDGKNR5153/TJXX3610/</x:v>
      </x:c>
      <x:c r="G22" s="92"/>
      <x:c r="H22" s="92"/>
    </x:row>
  </x:sheetData>
  <x:mergeCells>
    <x:mergeCell ref="A1:H1"/>
    <x:mergeCell ref="A2:H2"/>
    <x:mergeCell ref="A4:H4"/>
    <x:mergeCell ref="A8:H8"/>
    <x:mergeCell ref="D9:H9"/>
    <x:mergeCell ref="D10:H10"/>
    <x:mergeCell ref="D11:H11"/>
    <x:mergeCell ref="D12:H1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3" hidden="0" customWidth="1"/>
    <x:col min="3" max="3" width="34" hidden="0" customWidth="1"/>
    <x:col min="4" max="4" width="48" hidden="0" customWidth="1"/>
    <x:col min="5" max="5" width="44" hidden="0" customWidth="1"/>
    <x:col min="6" max="6" width="44" hidden="0" customWidth="1"/>
    <x:col min="7" max="7" width="42" hidden="0" customWidth="1"/>
  </x:cols>
  <x:sheetData>
    <x:row r="1" ht="34" customHeight="1">
      <x:c r="A1" s="4" t="str">
        <x:v>问题1—3模型方案比较</x:v>
      </x:c>
    </x:row>
    <x:row r="2" ht="34" customHeight="1">
      <x:c r="A2" s="7" t="str">
        <x:v>选择原则：主方案优先满足短样本稳定性、统计检验和可解释性；创新方案用于不确定性表达、稳健性验证和答辩展示，不以复杂度替代证据。</x:v>
      </x:c>
      <x:c r="B2" s="7"/>
      <x:c r="C2" s="7"/>
      <x:c r="D2" s="7"/>
      <x:c r="E2" s="7"/>
      <x:c r="F2" s="7"/>
      <x:c r="G2" s="7"/>
    </x:row>
    <x:row r="4">
      <x:c r="A4" s="87" t="str">
        <x:v>小问</x:v>
      </x:c>
      <x:c r="B4" s="88" t="str">
        <x:v>方案</x:v>
      </x:c>
      <x:c r="C4" s="88" t="str">
        <x:v>推荐模型</x:v>
      </x:c>
      <x:c r="D4" s="88" t="str">
        <x:v>核心原理</x:v>
      </x:c>
      <x:c r="E4" s="88" t="str">
        <x:v>适配性</x:v>
      </x:c>
      <x:c r="F4" s="88" t="str">
        <x:v>创新点</x:v>
      </x:c>
      <x:c r="G4" s="89" t="str">
        <x:v>局限性</x:v>
      </x:c>
    </x:row>
    <x:row r="5" ht="112" customHeight="1">
      <x:c r="A5" s="104" t="str">
        <x:v>问题1</x:v>
      </x:c>
      <x:c r="B5" s="107" t="str">
        <x:v>方案1｜基础适配（主推荐）</x:v>
      </x:c>
      <x:c r="C5" s="113" t="str">
        <x:v>分段Gompertz增长模型＋疫情干预项＋滚动窗口更新</x:v>
      </x:c>
      <x:c r="D5" s="90" t="str">
        <x:v>Gompertz曲线把旅游经济理解为由较快增长逐步转向容量约束的过程；在疫情年份加入干预项，并在疫情前、冲击期和恢复期允许增长速度发生变化。每获得一个新年度数据就向前滚动窗口重新估计参数，使基准曲线不会长期受早期样本支配。</x:v>
      </x:c>
      <x:c r="E5" s="90" t="str">
        <x:v>2010—2019年游客量和综合收入整体增长，而2020—2022年存在结构冲击，2023年后又快速恢复。模型参数少、经济含义清楚，适合16期年度短样本，也能满足问题1“简单增长模型＋适用性评价”的要求。</x:v>
      </x:c>
      <x:c r="F5" s="90" t="str">
        <x:v>不再用一条全时期曲线硬拟合，而是引入变点、疫情干预和滚动更新；估计时按observed、revised、inferred、target等状态设置质量权重，降低低证据数据对曲线的影响。</x:v>
      </x:c>
      <x:c r="G5" s="90" t="str">
        <x:v>容量上限对样本末端较敏感；2020—2022和2025含假设补全值，可能改变恢复斜率；模型仍主要描述趋势，不能充分解释政策、客源和新业态之间的非线性作用。</x:v>
      </x:c>
    </x:row>
    <x:row r="6" ht="112" customHeight="1">
      <x:c r="A6" s="105" t="str">
        <x:v>问题1</x:v>
      </x:c>
      <x:c r="B6" s="108" t="str">
        <x:v>方案2｜创新融合（增强分析）</x:v>
      </x:c>
      <x:c r="C6" s="114" t="str">
        <x:v>质量加权贝叶斯局部线性趋势＋隐马尔可夫状态切换</x:v>
      </x:c>
      <x:c r="D6" s="91" t="str">
        <x:v>把无法直接观察的真实旅游趋势看成随时间缓慢变化的状态，再用隐马尔可夫链在“常态增长、外部冲击、恢复反弹”三种状态间切换。不同来源的数据设置不同观测误差，最终得到趋势、状态概率及其可信区间。</x:v>
      </x:c>
      <x:c r="E6" s="91" t="str">
        <x:v>官方数据同时包含修订值、约数、反推值、累计值和目标值，且存在多处缺失。状态空间模型能够自然处理缺失，贝叶斯框架能把证据等级转化为不确定性，状态切换则对应疫情与恢复阶段。</x:v>
      </x:c>
      <x:c r="F6" s="91" t="str">
        <x:v>将数据来源质量直接写入观测方差，而非把所有数值等权处理；同时输出每年处于不同发展状态的概率，避免人为先固定断点。</x:v>
      </x:c>
      <x:c r="G6" s="91" t="str">
        <x:v>16个年度样本不足以稳定估计过多转移概率，结果对先验分布敏感；模型解释和实现难度高于分段曲线，适合作为稳健性或答辩亮点，不宜单独承担主结论。</x:v>
      </x:c>
    </x:row>
    <x:row r="7" ht="112" customHeight="1">
      <x:c r="A7" s="105" t="str">
        <x:v>问题2</x:v>
      </x:c>
      <x:c r="B7" s="108" t="str">
        <x:v>方案1｜基础适配（主推荐）</x:v>
      </x:c>
      <x:c r="C7" s="114" t="str">
        <x:v>干预ARIMAX＋阻尼ETS的滚动误差加权组合</x:v>
      </x:c>
      <x:c r="D7" s="91" t="str">
        <x:v>ARIMAX利用游客量或收入自身的滞后关系，并加入GDP、第三产业和疫情干预变量解释变化；阻尼ETS负责捕捉平滑但逐步放缓的趋势。通过滚动预测计算两类模型近期误差，误差小的模型获得更高组合权重，再用残差模拟形成95%预测区间。</x:v>
      </x:c>
      <x:c r="E7" s="91" t="str">
        <x:v>年度样本短且主要目标只有游客量和综合收入，低参数模型比深度学习稳定；宏观解释变量虽不完整但可形成少量核心因子，疫情虚拟变量可以阻止极端年份扭曲长期系数。</x:v>
      </x:c>
      <x:c r="F7" s="91" t="str">
        <x:v>在经典ARIMAX基础上加入对数变换、口径断点和疫情干预，并让ARIMAX与ETS权重随滚动误差动态变化，而不是固定平均；区间同时传播残差与外生变量情景的不确定性。</x:v>
      </x:c>
      <x:c r="G7" s="91" t="str">
        <x:v>ARIMAX需要给出2026—2030年外生变量路径；GDP与第三产业高度相关，可能产生共线性；验证期较短使组合权重波动，应限制滞后阶数并报告权重敏感性。</x:v>
      </x:c>
    </x:row>
    <x:row r="8" ht="112" customHeight="1">
      <x:c r="A8" s="105" t="str">
        <x:v>问题2</x:v>
      </x:c>
      <x:c r="B8" s="108" t="str">
        <x:v>方案2｜创新融合（增强分析）</x:v>
      </x:c>
      <x:c r="C8" s="114" t="str">
        <x:v>GM(1,N)小样本先验＋贝叶斯结构时间序列（BSTS）动态融合</x:v>
      </x:c>
      <x:c r="D8" s="91" t="str">
        <x:v>灰色GM(1,N)先从少量、不完全信息中给出稳定的长期趋势，再把这一趋势作为BSTS的先验或一个候选预测源；BSTS进一步分解局部趋势、外生回归和疫情干预，利用贝叶斯模型平均得到最终预测及后验区间。</x:v>
      </x:c>
      <x:c r="E8" s="91" t="str">
        <x:v>灰色模型对小样本和缺失较宽容，BSTS能够处理趋势随时间变化及参数不确定性，适合本题“样本少、来源质量不一、冲击明显、必须给区间”的组合特征。</x:v>
      </x:c>
      <x:c r="F8" s="91" t="str">
        <x:v>将灰色系统的弱信息预测与贝叶斯状态空间融合，并按证据等级调整观测噪声；不是简单取均值，而是根据后验概率动态分配模型权重。</x:v>
      </x:c>
      <x:c r="G8" s="91" t="str">
        <x:v>GM模型的近指数累积规律可能与疫情冲击冲突；BSTS结果受先验和变量选择影响，短样本下后验区间可能较宽；实现和解释成本高于ARIMAX＋ETS。</x:v>
      </x:c>
    </x:row>
    <x:row r="9" ht="112" customHeight="1">
      <x:c r="A9" s="105" t="str">
        <x:v>问题3</x:v>
      </x:c>
      <x:c r="B9" s="108" t="str">
        <x:v>方案1｜基础适配（主推荐）</x:v>
      </x:c>
      <x:c r="C9" s="114" t="str">
        <x:v>动态弹性情景模型＋拉丁超立方Monte Carlo＋龙卷风敏感性</x:v>
      </x:c>
      <x:c r="D9" s="91" t="str">
        <x:v>以问题2基准预测为自然延续路径，把政策投入、核心客源和新业态指数的变化乘以相应弹性，形成乐观、基准和悲观路径；再在每个参数区间内进行拉丁超立方抽样，观察游客量和收入分布，并按输出变化幅度排序关键因素。</x:v>
      </x:c>
      <x:c r="E9" s="91" t="str">
        <x:v>题目明确要求三情景、敏感性和定量建议，但历史政策变量很稀疏。弹性模型参数少、透明，允许把规划目标和专家区间直接转为可审计假设，适合校赛论文时间限制。</x:v>
      </x:c>
      <x:c r="F9" s="91" t="str">
        <x:v>弹性不设为永久常数，而是加入政策生效时滞和逐年动态权重；联合抽样保留因素间相关性，相比单纯上下浮动10%的方法能给出概率分布和超标风险。</x:v>
      </x:c>
      <x:c r="G9" s="91" t="str">
        <x:v>弹性多由短历史或专家区间估计，因果解释有限；若政策、客源和新业态存在强交互，单一弹性会低估非线性；建议需同时报告参数区间而非只给一个点值。</x:v>
      </x:c>
    </x:row>
    <x:row r="10" ht="112" customHeight="1">
      <x:c r="A10" s="106" t="str">
        <x:v>问题3</x:v>
      </x:c>
      <x:c r="B10" s="109" t="str">
        <x:v>方案2｜创新融合（答辩亮点）</x:v>
      </x:c>
      <x:c r="C10" s="115" t="str">
        <x:v>系统动力学（SD）＋贝叶斯网络风险传播＋多目标鲁棒优化</x:v>
      </x:c>
      <x:c r="D10" s="92" t="str">
        <x:v>系统动力学描述游客、接待能力、消费、财政再投入和新业态供给之间的反馈；贝叶斯网络计算宏观下行或公共事件向客流和收入传播的概率；多目标鲁棒优化在不同风险情景下选择兼顾收入增长、投入成本和波动风险的政策组合。</x:v>
      </x:c>
      <x:c r="E10" s="92" t="str">
        <x:v>问题3不仅要求预测，还要求把政策转成3—5条可操作建议。该组合可以表现“投入改善供给、供给吸引客流、收入反哺投入”的循环，也能把突发事件概率纳入政策方案比较。</x:v>
      </x:c>
      <x:c r="F10" s="92" t="str">
        <x:v>把因果反馈、概率风险和决策优化连成一体，使模型输出从情景曲线升级为政策组合；可使用分布鲁棒约束避免建议只在单一预测路径上有效。</x:v>
      </x:c>
      <x:c r="G10" s="92" t="str">
        <x:v>系统结构、条件概率和成本约束需要大量补充数据或专家赋值，主观性较强；若参数未经校准，复杂模型可能制造虚假的精确性，建议作为扩展模型并用基础方案交叉验证。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24b863b888d4b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2" hidden="0" customWidth="1"/>
    <x:col min="3" max="3" width="5" hidden="0" customWidth="1"/>
    <x:col min="4" max="4" width="22" hidden="0" customWidth="1"/>
    <x:col min="5" max="5" width="5" hidden="0" customWidth="1"/>
    <x:col min="6" max="6" width="24" hidden="0" customWidth="1"/>
    <x:col min="7" max="7" width="5" hidden="0" customWidth="1"/>
    <x:col min="8" max="8" width="24" hidden="0" customWidth="1"/>
    <x:col min="9" max="9" width="5" hidden="0" customWidth="1"/>
    <x:col min="10" max="10" width="25" hidden="0" customWidth="1"/>
    <x:col min="11" max="11" width="3" hidden="0" customWidth="1"/>
  </x:cols>
  <x:sheetData>
    <x:row r="1" ht="34" customHeight="1">
      <x:c r="A1" s="4" t="str">
        <x:v>模型应用流程与决策节点</x:v>
      </x:c>
    </x:row>
    <x:row r="3">
      <x:c r="B3" s="10" t="str">
        <x:v>问题1：历史规律与基准增长模型</x:v>
      </x:c>
    </x:row>
    <x:row r="5">
      <x:c r="B5" s="127" t="str">
        <x:v>输入多版本长表
保留证据等级</x:v>
      </x:c>
      <x:c r="C5" s="132" t="str">
        <x:v>→</x:v>
      </x:c>
      <x:c r="D5" s="143" t="str">
        <x:v>口径是否一致？
否：分序列/桥接
是：继续</x:v>
      </x:c>
      <x:c r="E5" s="132" t="str">
        <x:v>→</x:v>
      </x:c>
      <x:c r="F5" s="143" t="str">
        <x:v>缺失是否位于疫情期？
是：累计约束补全
否：插值/比例桥接</x:v>
      </x:c>
      <x:c r="G5" s="132" t="str">
        <x:v>→</x:v>
      </x:c>
      <x:c r="H5" s="143" t="str">
        <x:v>变点是否显著？
是：分段Gompertz
否：单段增长</x:v>
      </x:c>
      <x:c r="I5" s="132" t="str">
        <x:v>→</x:v>
      </x:c>
      <x:c r="J5" s="127" t="str">
        <x:v>输出趋势、冲击幅度
适用区间与误差</x:v>
      </x:c>
    </x:row>
    <x:row r="6">
      <x:c r="B6" s="128"/>
      <x:c r="C6" s="132"/>
      <x:c r="D6" s="144"/>
      <x:c r="E6" s="132"/>
      <x:c r="F6" s="144"/>
      <x:c r="G6" s="132"/>
      <x:c r="H6" s="144"/>
      <x:c r="I6" s="132"/>
      <x:c r="J6" s="128"/>
    </x:row>
    <x:row r="7">
      <x:c r="B7" s="129"/>
      <x:c r="C7" s="132"/>
      <x:c r="D7" s="145"/>
      <x:c r="E7" s="132"/>
      <x:c r="F7" s="145"/>
      <x:c r="G7" s="132"/>
      <x:c r="H7" s="145"/>
      <x:c r="I7" s="132"/>
      <x:c r="J7" s="129"/>
    </x:row>
    <x:row r="8">
      <x:c r="B8" s="149" t="str">
        <x:v>创新分支：若需同时表达来源质量和状态概率，则以质量加权贝叶斯局部趋势＋隐马尔可夫状态切换进行稳健性验证。</x:v>
      </x:c>
      <x:c r="C8" s="149"/>
      <x:c r="D8" s="149"/>
      <x:c r="E8" s="149"/>
      <x:c r="F8" s="149"/>
      <x:c r="G8" s="149"/>
      <x:c r="H8" s="149"/>
      <x:c r="I8" s="149"/>
      <x:c r="J8" s="149"/>
    </x:row>
    <x:row r="9">
      <x:c r="B9" s="149"/>
      <x:c r="C9" s="149"/>
      <x:c r="D9" s="149"/>
      <x:c r="E9" s="149"/>
      <x:c r="F9" s="149"/>
      <x:c r="G9" s="149"/>
      <x:c r="H9" s="149"/>
      <x:c r="I9" s="149"/>
      <x:c r="J9" s="149"/>
    </x:row>
    <x:row r="12">
      <x:c r="B12" s="10" t="str">
        <x:v>问题2：游客量与综合收入预测</x:v>
      </x:c>
    </x:row>
    <x:row r="14">
      <x:c r="B14" s="127" t="str">
        <x:v>输入清洗序列
对数/平稳性检查</x:v>
      </x:c>
      <x:c r="C14" s="132" t="str">
        <x:v>→</x:v>
      </x:c>
      <x:c r="D14" s="143" t="str">
        <x:v>样本是否少于30期？
是：限制低阶模型
否：再考虑复杂模型</x:v>
      </x:c>
      <x:c r="E14" s="132" t="str">
        <x:v>→</x:v>
      </x:c>
      <x:c r="F14" s="143" t="str">
        <x:v>未来外生变量可得？
是：ARIMAX
否：ETS/灰色模型</x:v>
      </x:c>
      <x:c r="G14" s="132" t="str">
        <x:v>→</x:v>
      </x:c>
      <x:c r="H14" s="143" t="str">
        <x:v>残差是否白噪声？
否：调阶/变换
是：滚动验证</x:v>
      </x:c>
      <x:c r="I14" s="132" t="str">
        <x:v>→</x:v>
      </x:c>
      <x:c r="J14" s="143" t="str">
        <x:v>误差互补？
是：动态加权组合
否：选最优单模</x:v>
      </x:c>
    </x:row>
    <x:row r="15">
      <x:c r="B15" s="128"/>
      <x:c r="C15" s="132"/>
      <x:c r="D15" s="144"/>
      <x:c r="E15" s="132"/>
      <x:c r="F15" s="144"/>
      <x:c r="G15" s="132"/>
      <x:c r="H15" s="144"/>
      <x:c r="I15" s="132"/>
      <x:c r="J15" s="144"/>
    </x:row>
    <x:row r="16">
      <x:c r="B16" s="129"/>
      <x:c r="C16" s="132"/>
      <x:c r="D16" s="145"/>
      <x:c r="E16" s="132"/>
      <x:c r="F16" s="145"/>
      <x:c r="G16" s="132"/>
      <x:c r="H16" s="145"/>
      <x:c r="I16" s="132"/>
      <x:c r="J16" s="145"/>
    </x:row>
    <x:row r="17">
      <x:c r="B17" s="149" t="str">
        <x:v>输出：2026—2030点预测、95%预测区间、MAE/RMSE/MAPE，以及与问题1基准模型的统一验证集比较。</x:v>
      </x:c>
      <x:c r="C17" s="149"/>
      <x:c r="D17" s="149"/>
      <x:c r="E17" s="149"/>
      <x:c r="F17" s="149"/>
      <x:c r="G17" s="149"/>
      <x:c r="H17" s="149"/>
      <x:c r="I17" s="149"/>
      <x:c r="J17" s="149"/>
    </x:row>
    <x:row r="18">
      <x:c r="B18" s="149"/>
      <x:c r="C18" s="149"/>
      <x:c r="D18" s="149"/>
      <x:c r="E18" s="149"/>
      <x:c r="F18" s="149"/>
      <x:c r="G18" s="149"/>
      <x:c r="H18" s="149"/>
      <x:c r="I18" s="149"/>
      <x:c r="J18" s="149"/>
    </x:row>
    <x:row r="21">
      <x:c r="B21" s="10" t="str">
        <x:v>问题3：情景、敏感性与量化建议</x:v>
      </x:c>
    </x:row>
    <x:row r="23">
      <x:c r="B23" s="127" t="str">
        <x:v>承接问题2
建立基准预测路径</x:v>
      </x:c>
      <x:c r="C23" s="132" t="str">
        <x:v>→</x:v>
      </x:c>
      <x:c r="D23" s="143" t="str">
        <x:v>驱动因素可量化？
是：估计弹性
否：标准化指数</x:v>
      </x:c>
      <x:c r="E23" s="132" t="str">
        <x:v>→</x:v>
      </x:c>
      <x:c r="F23" s="143" t="str">
        <x:v>参数是否在历史/规划边界？
否：重新标定
是：三情景赋值</x:v>
      </x:c>
      <x:c r="G23" s="132" t="str">
        <x:v>→</x:v>
      </x:c>
      <x:c r="H23" s="143" t="str">
        <x:v>非线性反馈显著？
是：SD＋贝叶斯网络
否：动态弹性</x:v>
      </x:c>
      <x:c r="I23" s="132" t="str">
        <x:v>→</x:v>
      </x:c>
      <x:c r="J23" s="127" t="str">
        <x:v>LHS Monte Carlo
敏感性排序
鲁棒建议</x:v>
      </x:c>
    </x:row>
    <x:row r="24">
      <x:c r="B24" s="128"/>
      <x:c r="C24" s="132"/>
      <x:c r="D24" s="144"/>
      <x:c r="E24" s="132"/>
      <x:c r="F24" s="144"/>
      <x:c r="G24" s="132"/>
      <x:c r="H24" s="144"/>
      <x:c r="I24" s="132"/>
      <x:c r="J24" s="128"/>
    </x:row>
    <x:row r="25">
      <x:c r="B25" s="129"/>
      <x:c r="C25" s="132"/>
      <x:c r="D25" s="145"/>
      <x:c r="E25" s="132"/>
      <x:c r="F25" s="145"/>
      <x:c r="G25" s="132"/>
      <x:c r="H25" s="145"/>
      <x:c r="I25" s="132"/>
      <x:c r="J25" s="129"/>
    </x:row>
    <x:row r="26">
      <x:c r="B26" s="149" t="str">
        <x:v>决策输出必须形成“因素—政策工具—投入强度—实施期—预期客流/收入增量—监测指标”的闭环。</x:v>
      </x:c>
      <x:c r="C26" s="149"/>
      <x:c r="D26" s="149"/>
      <x:c r="E26" s="149"/>
      <x:c r="F26" s="149"/>
      <x:c r="G26" s="149"/>
      <x:c r="H26" s="149"/>
      <x:c r="I26" s="149"/>
      <x:c r="J26" s="149"/>
    </x:row>
    <x:row r="27">
      <x:c r="B27" s="149"/>
      <x:c r="C27" s="149"/>
      <x:c r="D27" s="149"/>
      <x:c r="E27" s="149"/>
      <x:c r="F27" s="149"/>
      <x:c r="G27" s="149"/>
      <x:c r="H27" s="149"/>
      <x:c r="I27" s="149"/>
      <x:c r="J27" s="149"/>
    </x:row>
  </x:sheetData>
  <x:mergeCells>
    <x:mergeCell ref="A1:K1"/>
    <x:mergeCell ref="B3:J3"/>
    <x:mergeCell ref="B5:B7"/>
    <x:mergeCell ref="C5:C7"/>
    <x:mergeCell ref="D5:D7"/>
    <x:mergeCell ref="E5:E7"/>
    <x:mergeCell ref="F5:F7"/>
    <x:mergeCell ref="G5:G7"/>
    <x:mergeCell ref="H5:H7"/>
    <x:mergeCell ref="I5:I7"/>
    <x:mergeCell ref="J5:J7"/>
    <x:mergeCell ref="B8:J9"/>
    <x:mergeCell ref="B12:J12"/>
    <x:mergeCell ref="B14:B16"/>
    <x:mergeCell ref="C14:C16"/>
    <x:mergeCell ref="D14:D16"/>
    <x:mergeCell ref="E14:E16"/>
    <x:mergeCell ref="F14:F16"/>
    <x:mergeCell ref="G14:G16"/>
    <x:mergeCell ref="H14:H16"/>
    <x:mergeCell ref="I14:I16"/>
    <x:mergeCell ref="J14:J16"/>
    <x:mergeCell ref="B17:J18"/>
    <x:mergeCell ref="B21:J21"/>
    <x:mergeCell ref="B23:B25"/>
    <x:mergeCell ref="C23:C25"/>
    <x:mergeCell ref="D23:D25"/>
    <x:mergeCell ref="E23:E25"/>
    <x:mergeCell ref="F23:F25"/>
    <x:mergeCell ref="G23:G25"/>
    <x:mergeCell ref="H23:H25"/>
    <x:mergeCell ref="I23:I25"/>
    <x:mergeCell ref="J23:J25"/>
    <x:mergeCell ref="B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0" hidden="0" customWidth="1"/>
    <x:col min="4" max="4" width="16" hidden="0" customWidth="1"/>
    <x:col min="5" max="5" width="20" hidden="0" customWidth="1"/>
    <x:col min="6" max="6" width="17" hidden="0" customWidth="1"/>
    <x:col min="7" max="7" width="26" hidden="0" customWidth="1"/>
    <x:col min="8" max="8" width="13" hidden="0" customWidth="1"/>
    <x:col min="9" max="9" width="27" hidden="0" customWidth="1"/>
    <x:col min="10" max="10" width="16" hidden="0" customWidth="1"/>
    <x:col min="11" max="11" width="27" hidden="0" customWidth="1"/>
    <x:col min="12" max="12" width="48" hidden="0" customWidth="1"/>
    <x:col min="13" max="13" width="48" hidden="0" customWidth="1"/>
  </x:cols>
  <x:sheetData>
    <x:row r="1" ht="34" customHeight="1">
      <x:c r="A1" s="4" t="str">
        <x:v>官方优选年度宽表（原始层，不做覆盖）</x:v>
      </x:c>
    </x:row>
    <x:row r="2" ht="34" customHeight="1">
      <x:c r="A2" s="150" t="str">
        <x:v>来源：official_annual_summary_2010_2025.csv。空白保持为空；target、inferred、provisional等状态不得当作同等质量的官方实际值。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</x:row>
    <x:row r="3" ht="31" customHeight="1">
      <x:c r="A3" s="87" t="str">
        <x:v>年份</x:v>
      </x:c>
      <x:c r="B3" s="88" t="str">
        <x:v>游客量(万人次)</x:v>
      </x:c>
      <x:c r="C3" s="88" t="str">
        <x:v>游客状态</x:v>
      </x:c>
      <x:c r="D3" s="88" t="str">
        <x:v>直接收入(亿元)</x:v>
      </x:c>
      <x:c r="E3" s="88" t="str">
        <x:v>直接收入状态</x:v>
      </x:c>
      <x:c r="F3" s="88" t="str">
        <x:v>综合收入(亿元)</x:v>
      </x:c>
      <x:c r="G3" s="88" t="str">
        <x:v>综合收入状态</x:v>
      </x:c>
      <x:c r="H3" s="88" t="str">
        <x:v>GDP(亿元)</x:v>
      </x:c>
      <x:c r="I3" s="88" t="str">
        <x:v>GDP状态</x:v>
      </x:c>
      <x:c r="J3" s="88" t="str">
        <x:v>第三产业(亿元)</x:v>
      </x:c>
      <x:c r="K3" s="88" t="str">
        <x:v>第三产业状态</x:v>
      </x:c>
      <x:c r="L3" s="88" t="str">
        <x:v>来源ID</x:v>
      </x:c>
      <x:c r="M3" s="89" t="str">
        <x:v>质量说明</x:v>
      </x:c>
    </x:row>
    <x:row r="4" ht="31" customHeight="1">
      <x:c r="A4" s="93" t="n">
        <x:v>2010</x:v>
      </x:c>
      <x:c r="B4" s="152" t="n">
        <x:v>848</x:v>
      </x:c>
      <x:c r="C4" s="90" t="str">
        <x:v>observed_rounded</x:v>
      </x:c>
      <x:c r="D4" s="152" t="n">
        <x:v>7.104247</x:v>
      </x:c>
      <x:c r="E4" s="90" t="str">
        <x:v>inferred_from_yoy</x:v>
      </x:c>
      <x:c r="F4" s="152" t="n">
        <x:v>35.521236</x:v>
      </x:c>
      <x:c r="G4" s="90" t="str">
        <x:v>inferred_from_yoy</x:v>
      </x:c>
      <x:c r="H4" s="152" t="n">
        <x:v>215.47</x:v>
      </x:c>
      <x:c r="I4" s="90" t="str">
        <x:v>official_yearbook</x:v>
      </x:c>
      <x:c r="J4" s="152" t="n">
        <x:v>136.23</x:v>
      </x:c>
      <x:c r="K4" s="90" t="str">
        <x:v>official_yearbook</x:v>
      </x:c>
      <x:c r="L4" s="90" t="str">
        <x:v>gov_jz_report_2011;gov_jz_bulletin_2011;gov_tj_yearbook_2011_jixian</x:v>
      </x:c>
      <x:c r="M4" s="90" t="str">
        <x:v>收入为同比反推；游客量为工作报告约数</x:v>
      </x:c>
    </x:row>
    <x:row r="5" ht="31" customHeight="1">
      <x:c r="A5" s="94" t="n">
        <x:v>2011</x:v>
      </x:c>
      <x:c r="B5" s="153" t="n">
        <x:v>1098.6</x:v>
      </x:c>
      <x:c r="C5" s="91" t="str">
        <x:v>observed</x:v>
      </x:c>
      <x:c r="D5" s="153" t="n">
        <x:v>9.2</x:v>
      </x:c>
      <x:c r="E5" s="91" t="str">
        <x:v>observed</x:v>
      </x:c>
      <x:c r="F5" s="153" t="n">
        <x:v>46</x:v>
      </x:c>
      <x:c r="G5" s="91" t="str">
        <x:v>observed</x:v>
      </x:c>
      <x:c r="H5" s="153" t="n">
        <x:v>250.11</x:v>
      </x:c>
      <x:c r="I5" s="91" t="str">
        <x:v>official_yearbook</x:v>
      </x:c>
      <x:c r="J5" s="153" t="n">
        <x:v>147.02</x:v>
      </x:c>
      <x:c r="K5" s="91" t="str">
        <x:v>official_yearbook</x:v>
      </x:c>
      <x:c r="L5" s="91" t="str">
        <x:v>gov_jz_bulletin_2011;gov_tj_yearbook_2012_jixian</x:v>
      </x:c>
      <x:c r="M5" s="91" t="str">
        <x:v>宏观指标采用后版年鉴回列值并保留公报初值于宏观长表</x:v>
      </x:c>
    </x:row>
    <x:row r="6" ht="31" customHeight="1">
      <x:c r="A6" s="94" t="n">
        <x:v>2012</x:v>
      </x:c>
      <x:c r="B6" s="153" t="n">
        <x:v>1152</x:v>
      </x:c>
      <x:c r="C6" s="91" t="str">
        <x:v>observed_rounded</x:v>
      </x:c>
      <x:c r="D6" s="153"/>
      <x:c r="E6" s="91"/>
      <x:c r="F6" s="153" t="n">
        <x:v>52</x:v>
      </x:c>
      <x:c r="G6" s="91" t="str">
        <x:v>observed_rounded</x:v>
      </x:c>
      <x:c r="H6" s="153" t="n">
        <x:v>333.3</x:v>
      </x:c>
      <x:c r="I6" s="91" t="str">
        <x:v>provisional_estimate</x:v>
      </x:c>
      <x:c r="J6" s="153"/>
      <x:c r="K6" s="91"/>
      <x:c r="L6" s="91" t="str">
        <x:v>gov_jz_report_2013</x:v>
      </x:c>
      <x:c r="M6" s="91" t="str">
        <x:v>旅游为工作报告回顾值；GDP为预计值且待后续年鉴复核</x:v>
      </x:c>
    </x:row>
    <x:row r="7" ht="31" customHeight="1">
      <x:c r="A7" s="94" t="n">
        <x:v>2013</x:v>
      </x:c>
      <x:c r="B7" s="153" t="n">
        <x:v>1295</x:v>
      </x:c>
      <x:c r="C7" s="91" t="str">
        <x:v>observed_cached</x:v>
      </x:c>
      <x:c r="D7" s="153" t="n">
        <x:v>12.63</x:v>
      </x:c>
      <x:c r="E7" s="91" t="str">
        <x:v>observed_cached</x:v>
      </x:c>
      <x:c r="F7" s="153" t="n">
        <x:v>63.2</x:v>
      </x:c>
      <x:c r="G7" s="91" t="str">
        <x:v>observed_cached</x:v>
      </x:c>
      <x:c r="H7" s="153" t="n">
        <x:v>316.8</x:v>
      </x:c>
      <x:c r="I7" s="91" t="str">
        <x:v>inferred_from_official_bulletin</x:v>
      </x:c>
      <x:c r="J7" s="153" t="n">
        <x:v>187.5456</x:v>
      </x:c>
      <x:c r="K7" s="91" t="str">
        <x:v>inferred_from_official_bulletin</x:v>
      </x:c>
      <x:c r="L7" s="91" t="str">
        <x:v>gov_jz_tourism_summary_2013;gov_jz_bulletin_2014</x:v>
      </x:c>
      <x:c r="M7" s="91" t="str">
        <x:v>旅游官方详情页当前下线；宏观值由2014公报回列信息推导</x:v>
      </x:c>
    </x:row>
    <x:row r="8" ht="31" customHeight="1">
      <x:c r="A8" s="94" t="n">
        <x:v>2014</x:v>
      </x:c>
      <x:c r="B8" s="153" t="n">
        <x:v>1553.4</x:v>
      </x:c>
      <x:c r="C8" s="91" t="str">
        <x:v>observed_revised</x:v>
      </x:c>
      <x:c r="D8" s="153" t="n">
        <x:v>15.8007</x:v>
      </x:c>
      <x:c r="E8" s="91" t="str">
        <x:v>observed_revised</x:v>
      </x:c>
      <x:c r="F8" s="153" t="n">
        <x:v>79</x:v>
      </x:c>
      <x:c r="G8" s="91" t="str">
        <x:v>observed</x:v>
      </x:c>
      <x:c r="H8" s="153" t="n">
        <x:v>361.1</x:v>
      </x:c>
      <x:c r="I8" s="91" t="str">
        <x:v>official_initial</x:v>
      </x:c>
      <x:c r="J8" s="153" t="n">
        <x:v>212.91</x:v>
      </x:c>
      <x:c r="K8" s="91" t="str">
        <x:v>official_initial</x:v>
      </x:c>
      <x:c r="L8" s="91" t="str">
        <x:v>gov_jz_tourism_stats_2015;gov_jz_bulletin_2014</x:v>
      </x:c>
      <x:c r="M8" s="91" t="str">
        <x:v>游客和直接收入采用下一年统计表回列修订值</x:v>
      </x:c>
    </x:row>
    <x:row r="9" ht="31" customHeight="1">
      <x:c r="A9" s="94" t="n">
        <x:v>2015</x:v>
      </x:c>
      <x:c r="B9" s="153" t="n">
        <x:v>1818.72</x:v>
      </x:c>
      <x:c r="C9" s="91" t="str">
        <x:v>observed_revised</x:v>
      </x:c>
      <x:c r="D9" s="153" t="n">
        <x:v>18.7922</x:v>
      </x:c>
      <x:c r="E9" s="91" t="str">
        <x:v>observed_revised</x:v>
      </x:c>
      <x:c r="F9" s="153" t="n">
        <x:v>94</x:v>
      </x:c>
      <x:c r="G9" s="91" t="str">
        <x:v>observed_supporting_attachment</x:v>
      </x:c>
      <x:c r="H9" s="153" t="n">
        <x:v>409</x:v>
      </x:c>
      <x:c r="I9" s="91" t="str">
        <x:v>provisional_estimate</x:v>
      </x:c>
      <x:c r="J9" s="153"/>
      <x:c r="K9" s="91"/>
      <x:c r="L9" s="91" t="str">
        <x:v>gov_jz_tourism_stats_2016;gov_jz_tourism_attachment_2015;gov_jz_report_2016</x:v>
      </x:c>
      <x:c r="M9" s="91" t="str">
        <x:v>综合收入证据层级较低；GDP为十二五回顾值</x:v>
      </x:c>
    </x:row>
    <x:row r="10" ht="31" customHeight="1">
      <x:c r="A10" s="94" t="n">
        <x:v>2016</x:v>
      </x:c>
      <x:c r="B10" s="153" t="n">
        <x:v>2086</x:v>
      </x:c>
      <x:c r="C10" s="91" t="str">
        <x:v>observed_revised</x:v>
      </x:c>
      <x:c r="D10" s="153" t="n">
        <x:v>21.9172</x:v>
      </x:c>
      <x:c r="E10" s="91" t="str">
        <x:v>observed_revised</x:v>
      </x:c>
      <x:c r="F10" s="153"/>
      <x:c r="G10" s="91"/>
      <x:c r="H10" s="153" t="n">
        <x:v>430</x:v>
      </x:c>
      <x:c r="I10" s="91" t="str">
        <x:v>provisional_estimate</x:v>
      </x:c>
      <x:c r="J10" s="153"/>
      <x:c r="K10" s="91"/>
      <x:c r="L10" s="91" t="str">
        <x:v>gov_jz_tourism_stats_2017;gov_jz_report_2017</x:v>
      </x:c>
      <x:c r="M10" s="91" t="str">
        <x:v>未找到同口径综合收入；GDP为报告预计值</x:v>
      </x:c>
    </x:row>
    <x:row r="11" ht="31" customHeight="1">
      <x:c r="A11" s="94" t="n">
        <x:v>2017</x:v>
      </x:c>
      <x:c r="B11" s="153" t="n">
        <x:v>2392</x:v>
      </x:c>
      <x:c r="C11" s="91" t="str">
        <x:v>observed</x:v>
      </x:c>
      <x:c r="D11" s="153" t="n">
        <x:v>26.1347</x:v>
      </x:c>
      <x:c r="E11" s="91" t="str">
        <x:v>observed</x:v>
      </x:c>
      <x:c r="F11" s="153" t="n">
        <x:v>130</x:v>
      </x:c>
      <x:c r="G11" s="91" t="str">
        <x:v>observed_rounded</x:v>
      </x:c>
      <x:c r="H11" s="153"/>
      <x:c r="I11" s="91"/>
      <x:c r="J11" s="153"/>
      <x:c r="K11" s="91"/>
      <x:c r="L11" s="91" t="str">
        <x:v>gov_jz_tourism_stats_2017;gov_jz_report_2018</x:v>
      </x:c>
      <x:c r="M11" s="91" t="str">
        <x:v>工作报告游客约数2400未覆盖统计表精确值2392</x:v>
      </x:c>
    </x:row>
    <x:row r="12" ht="31" customHeight="1">
      <x:c r="A12" s="94" t="n">
        <x:v>2018</x:v>
      </x:c>
      <x:c r="B12" s="153" t="n">
        <x:v>2660</x:v>
      </x:c>
      <x:c r="C12" s="91" t="str">
        <x:v>observed_rounded</x:v>
      </x:c>
      <x:c r="D12" s="153"/>
      <x:c r="E12" s="91"/>
      <x:c r="F12" s="153" t="n">
        <x:v>142</x:v>
      </x:c>
      <x:c r="G12" s="91" t="str">
        <x:v>observed_rounded</x:v>
      </x:c>
      <x:c r="H12" s="153" t="n">
        <x:v>380</x:v>
      </x:c>
      <x:c r="I12" s="91" t="str">
        <x:v>provisional_estimate</x:v>
      </x:c>
      <x:c r="J12" s="153"/>
      <x:c r="K12" s="91"/>
      <x:c r="L12" s="91" t="str">
        <x:v>gov_jz_report_2019</x:v>
      </x:c>
      <x:c r="M12" s="91" t="str">
        <x:v>GDP为工作报告预计值</x:v>
      </x:c>
    </x:row>
    <x:row r="13" ht="31" customHeight="1">
      <x:c r="A13" s="94" t="n">
        <x:v>2019</x:v>
      </x:c>
      <x:c r="B13" s="153" t="n">
        <x:v>2800</x:v>
      </x:c>
      <x:c r="C13" s="91" t="str">
        <x:v>observed_rounded</x:v>
      </x:c>
      <x:c r="D13" s="153"/>
      <x:c r="E13" s="91"/>
      <x:c r="F13" s="153" t="n">
        <x:v>165</x:v>
      </x:c>
      <x:c r="G13" s="91" t="str">
        <x:v>observed_rounded</x:v>
      </x:c>
      <x:c r="H13" s="153" t="n">
        <x:v>210.8</x:v>
      </x:c>
      <x:c r="I13" s="91" t="str">
        <x:v>official_initial</x:v>
      </x:c>
      <x:c r="J13" s="153" t="n">
        <x:v>129.92</x:v>
      </x:c>
      <x:c r="K13" s="91" t="str">
        <x:v>official_initial</x:v>
      </x:c>
      <x:c r="L13" s="91" t="str">
        <x:v>gov_jz_report_2020;gov_jz_bulletin_2019</x:v>
      </x:c>
      <x:c r="M13" s="91" t="str">
        <x:v>宏观序列与2018年前口径存在明显断点</x:v>
      </x:c>
    </x:row>
    <x:row r="14" ht="31" customHeight="1">
      <x:c r="A14" s="94" t="n">
        <x:v>2020</x:v>
      </x:c>
      <x:c r="B14" s="153"/>
      <x:c r="C14" s="91"/>
      <x:c r="D14" s="153"/>
      <x:c r="E14" s="91"/>
      <x:c r="F14" s="153"/>
      <x:c r="G14" s="91"/>
      <x:c r="H14" s="153" t="n">
        <x:v>224.6</x:v>
      </x:c>
      <x:c r="I14" s="91" t="str">
        <x:v>official_initial</x:v>
      </x:c>
      <x:c r="J14" s="153" t="n">
        <x:v>142.55</x:v>
      </x:c>
      <x:c r="K14" s="91" t="str">
        <x:v>official_initial</x:v>
      </x:c>
      <x:c r="L14" s="91" t="str">
        <x:v>gov_jz_bulletin_2020</x:v>
      </x:c>
      <x:c r="M14" s="91" t="str">
        <x:v>疫情年份未找到可核验的年度旅游总量</x:v>
      </x:c>
    </x:row>
    <x:row r="15" ht="31" customHeight="1">
      <x:c r="A15" s="94" t="n">
        <x:v>2021</x:v>
      </x:c>
      <x:c r="B15" s="153"/>
      <x:c r="C15" s="91"/>
      <x:c r="D15" s="153"/>
      <x:c r="E15" s="91"/>
      <x:c r="F15" s="153" t="n">
        <x:v>110</x:v>
      </x:c>
      <x:c r="G15" s="91" t="str">
        <x:v>observed_rounded</x:v>
      </x:c>
      <x:c r="H15" s="153" t="n">
        <x:v>274.2034</x:v>
      </x:c>
      <x:c r="I15" s="91" t="str">
        <x:v>official_revised</x:v>
      </x:c>
      <x:c r="J15" s="153" t="n">
        <x:v>161.9732</x:v>
      </x:c>
      <x:c r="K15" s="91" t="str">
        <x:v>official_revised</x:v>
      </x:c>
      <x:c r="L15" s="91" t="str">
        <x:v>gov_jz_report_2022;gov_jz_yearbook_2022</x:v>
      </x:c>
      <x:c r="M15" s="91" t="str">
        <x:v>未找到精确游客量；宏观指标采用后版年鉴修订值</x:v>
      </x:c>
    </x:row>
    <x:row r="16" ht="31" customHeight="1">
      <x:c r="A16" s="94" t="n">
        <x:v>2022</x:v>
      </x:c>
      <x:c r="B16" s="153"/>
      <x:c r="C16" s="91"/>
      <x:c r="D16" s="153"/>
      <x:c r="E16" s="91"/>
      <x:c r="F16" s="153"/>
      <x:c r="G16" s="91"/>
      <x:c r="H16" s="153" t="n">
        <x:v>282.2414</x:v>
      </x:c>
      <x:c r="I16" s="91" t="str">
        <x:v>official_revised</x:v>
      </x:c>
      <x:c r="J16" s="153" t="n">
        <x:v>171.2106</x:v>
      </x:c>
      <x:c r="K16" s="91" t="str">
        <x:v>official_revised</x:v>
      </x:c>
      <x:c r="L16" s="91" t="str">
        <x:v>gov_jz_yearbook_2023</x:v>
      </x:c>
      <x:c r="M16" s="91" t="str">
        <x:v>未找到可核验的年度游客量及实际综合收入</x:v>
      </x:c>
    </x:row>
    <x:row r="17" ht="31" customHeight="1">
      <x:c r="A17" s="94" t="n">
        <x:v>2023</x:v>
      </x:c>
      <x:c r="B17" s="153" t="n">
        <x:v>2363</x:v>
      </x:c>
      <x:c r="C17" s="91" t="str">
        <x:v>observed_rounded</x:v>
      </x:c>
      <x:c r="D17" s="153"/>
      <x:c r="E17" s="91"/>
      <x:c r="F17" s="153" t="n">
        <x:v>191.5</x:v>
      </x:c>
      <x:c r="G17" s="91" t="str">
        <x:v>observed</x:v>
      </x:c>
      <x:c r="H17" s="153" t="n">
        <x:v>288.3062</x:v>
      </x:c>
      <x:c r="I17" s="91" t="str">
        <x:v>official_final</x:v>
      </x:c>
      <x:c r="J17" s="153" t="n">
        <x:v>176.1714</x:v>
      </x:c>
      <x:c r="K17" s="91" t="str">
        <x:v>official_final</x:v>
      </x:c>
      <x:c r="L17" s="91" t="str">
        <x:v>gov_jz_report_2024;gov_jz_yearbook_2024</x:v>
      </x:c>
      <x:c r="M17" s="91" t="str">
        <x:v>宏观指标采用2024年鉴最终核实值</x:v>
      </x:c>
    </x:row>
    <x:row r="18" ht="31" customHeight="1">
      <x:c r="A18" s="94" t="n">
        <x:v>2024</x:v>
      </x:c>
      <x:c r="B18" s="153" t="n">
        <x:v>2643</x:v>
      </x:c>
      <x:c r="C18" s="91" t="str">
        <x:v>observed_rounded</x:v>
      </x:c>
      <x:c r="D18" s="153"/>
      <x:c r="E18" s="91"/>
      <x:c r="F18" s="153" t="n">
        <x:v>221</x:v>
      </x:c>
      <x:c r="G18" s="91" t="str">
        <x:v>observed_rounded</x:v>
      </x:c>
      <x:c r="H18" s="153" t="n">
        <x:v>298.865</x:v>
      </x:c>
      <x:c r="I18" s="91" t="str">
        <x:v>official_yearbook</x:v>
      </x:c>
      <x:c r="J18" s="153" t="n">
        <x:v>183.9654</x:v>
      </x:c>
      <x:c r="K18" s="91" t="str">
        <x:v>official_yearbook</x:v>
      </x:c>
      <x:c r="L18" s="91" t="str">
        <x:v>gov_jz_report_2025;gov_jz_yearbook_2024</x:v>
      </x:c>
      <x:c r="M18" s="91" t="str">
        <x:v>宏观指标采用2024年鉴现价值</x:v>
      </x:c>
    </x:row>
    <x:row r="19" ht="31" customHeight="1">
      <x:c r="A19" s="151" t="n">
        <x:v>2025</x:v>
      </x:c>
      <x:c r="B19" s="154"/>
      <x:c r="C19" s="92"/>
      <x:c r="D19" s="154"/>
      <x:c r="E19" s="92"/>
      <x:c r="F19" s="154"/>
      <x:c r="G19" s="92"/>
      <x:c r="H19" s="154" t="n">
        <x:v>311.94</x:v>
      </x:c>
      <x:c r="I19" s="92" t="str">
        <x:v>official_initial</x:v>
      </x:c>
      <x:c r="J19" s="154" t="n">
        <x:v>195.17</x:v>
      </x:c>
      <x:c r="K19" s="92" t="str">
        <x:v>official_initial</x:v>
      </x:c>
      <x:c r="L19" s="92" t="str">
        <x:v>gov_jz_bulletin_2025</x:v>
      </x:c>
      <x:c r="M19" s="92" t="str">
        <x:v>政府报告仅给2025年目标和2021至2025累计值；不作为年度实际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e0bb75da7f942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2" hidden="0" customWidth="1"/>
    <x:col min="4" max="4" width="18" hidden="0" customWidth="1"/>
    <x:col min="5" max="5" width="49" hidden="0" customWidth="1"/>
    <x:col min="6" max="6" width="10" hidden="0" customWidth="1"/>
    <x:col min="7" max="7" width="22" hidden="0" customWidth="1"/>
  </x:cols>
  <x:sheetData>
    <x:row r="1" ht="34" customHeight="1">
      <x:c r="A1" s="4" t="str">
        <x:v>缺失补全参数与约束（黄色单元格可编辑）</x:v>
      </x:c>
    </x:row>
    <x:row r="2" ht="36" customHeight="1">
      <x:c r="A2" s="156" t="str">
        <x:v>这些数值是建模假设或官方累计/目标约束，不是新增官方年度实际。修改黄色输入后，预处理结果、异常检测和趋势图会联动更新。</x:v>
      </x:c>
      <x:c r="B2" s="156"/>
      <x:c r="C2" s="156"/>
      <x:c r="D2" s="156"/>
      <x:c r="E2" s="156"/>
      <x:c r="F2" s="156"/>
      <x:c r="G2" s="156"/>
    </x:row>
    <x:row r="3" ht="31" customHeight="1">
      <x:c r="A3" s="87" t="str">
        <x:v>参数</x:v>
      </x:c>
      <x:c r="B3" s="88" t="str">
        <x:v>数值</x:v>
      </x:c>
      <x:c r="C3" s="88" t="str">
        <x:v>单位</x:v>
      </x:c>
      <x:c r="D3" s="88" t="str">
        <x:v>类型</x:v>
      </x:c>
      <x:c r="E3" s="88" t="str">
        <x:v>依据/计算逻辑</x:v>
      </x:c>
      <x:c r="F3" s="88" t="str">
        <x:v>可编辑</x:v>
      </x:c>
      <x:c r="G3" s="89" t="str">
        <x:v>建议敏感性范围</x:v>
      </x:c>
    </x:row>
    <x:row r="4" ht="31" customHeight="1">
      <x:c r="A4" s="90" t="str">
        <x:v>2021—2025游客累计</x:v>
      </x:c>
      <x:c r="B4" s="152" t="n">
        <x:v>10500</x:v>
      </x:c>
      <x:c r="C4" s="90" t="str">
        <x:v>万人次</x:v>
      </x:c>
      <x:c r="D4" s="90" t="str">
        <x:v>官方累计约束</x:v>
      </x:c>
      <x:c r="E4" s="90" t="str">
        <x:v>政府报告五年累计值，不拆作单年观测</x:v>
      </x:c>
      <x:c r="F4" s="90" t="str">
        <x:v>否</x:v>
      </x:c>
      <x:c r="G4" s="90" t="str">
        <x:v>固定</x:v>
      </x:c>
    </x:row>
    <x:row r="5" ht="31" customHeight="1">
      <x:c r="A5" s="91" t="str">
        <x:v>2021—2025综合收入累计</x:v>
      </x:c>
      <x:c r="B5" s="153" t="n">
        <x:v>792.5</x:v>
      </x:c>
      <x:c r="C5" s="91" t="str">
        <x:v>亿元</x:v>
      </x:c>
      <x:c r="D5" s="91" t="str">
        <x:v>官方累计约束</x:v>
      </x:c>
      <x:c r="E5" s="91" t="str">
        <x:v>政府报告五年累计值</x:v>
      </x:c>
      <x:c r="F5" s="91" t="str">
        <x:v>否</x:v>
      </x:c>
      <x:c r="G5" s="91" t="str">
        <x:v>固定</x:v>
      </x:c>
    </x:row>
    <x:row r="6" ht="31" customHeight="1">
      <x:c r="A6" s="91" t="str">
        <x:v>2025游客目标替代值</x:v>
      </x:c>
      <x:c r="B6" s="159" t="n">
        <x:v>2800</x:v>
      </x:c>
      <x:c r="C6" s="91" t="str">
        <x:v>万人次</x:v>
      </x:c>
      <x:c r="D6" s="91" t="str">
        <x:v>假设输入</x:v>
      </x:c>
      <x:c r="E6" s="91" t="str">
        <x:v>无年度实际值时暂以目标代替</x:v>
      </x:c>
      <x:c r="F6" s="91" t="str">
        <x:v>是</x:v>
      </x:c>
      <x:c r="G6" s="91" t="str">
        <x:v>±5%至±10%</x:v>
      </x:c>
    </x:row>
    <x:row r="7" ht="31" customHeight="1">
      <x:c r="A7" s="91" t="str">
        <x:v>2025综合收入目标替代值</x:v>
      </x:c>
      <x:c r="B7" s="159" t="n">
        <x:v>231</x:v>
      </x:c>
      <x:c r="C7" s="91" t="str">
        <x:v>亿元</x:v>
      </x:c>
      <x:c r="D7" s="91" t="str">
        <x:v>假设输入</x:v>
      </x:c>
      <x:c r="E7" s="91" t="str">
        <x:v>无年度实际值时暂以目标代替</x:v>
      </x:c>
      <x:c r="F7" s="91" t="str">
        <x:v>是</x:v>
      </x:c>
      <x:c r="G7" s="91" t="str">
        <x:v>±5%至±10%</x:v>
      </x:c>
    </x:row>
    <x:row r="8" ht="31" customHeight="1">
      <x:c r="A8" s="91" t="str">
        <x:v>2020游客保留率</x:v>
      </x:c>
      <x:c r="B8" s="161" t="n">
        <x:v>0.55</x:v>
      </x:c>
      <x:c r="C8" s="91" t="str">
        <x:v>%</x:v>
      </x:c>
      <x:c r="D8" s="91" t="str">
        <x:v>假设输入</x:v>
      </x:c>
      <x:c r="E8" s="91" t="str">
        <x:v>相对2019年，用于刻画首年疫情冲击</x:v>
      </x:c>
      <x:c r="F8" s="91" t="str">
        <x:v>是</x:v>
      </x:c>
      <x:c r="G8" s="91" t="str">
        <x:v>45%—65%</x:v>
      </x:c>
    </x:row>
    <x:row r="9" ht="31" customHeight="1">
      <x:c r="A9" s="91" t="str">
        <x:v>2020人均消费保留率</x:v>
      </x:c>
      <x:c r="B9" s="161" t="n">
        <x:v>0.9</x:v>
      </x:c>
      <x:c r="C9" s="91" t="str">
        <x:v>%</x:v>
      </x:c>
      <x:c r="D9" s="91" t="str">
        <x:v>假设输入</x:v>
      </x:c>
      <x:c r="E9" s="91" t="str">
        <x:v>相对2019人均旅游消费</x:v>
      </x:c>
      <x:c r="F9" s="91" t="str">
        <x:v>是</x:v>
      </x:c>
      <x:c r="G9" s="91" t="str">
        <x:v>80%—100%</x:v>
      </x:c>
    </x:row>
    <x:row r="10" ht="31" customHeight="1">
      <x:c r="A10" s="91" t="str">
        <x:v>综合收入/直接收入桥接倍数</x:v>
      </x:c>
      <x:c r="B10" s="159" t="n">
        <x:v>5</x:v>
      </x:c>
      <x:c r="C10" s="91" t="str">
        <x:v>倍</x:v>
      </x:c>
      <x:c r="D10" s="91" t="str">
        <x:v>假设输入</x:v>
      </x:c>
      <x:c r="E10" s="91" t="str">
        <x:v>2011、2013—2015、2017年关系约为5倍</x:v>
      </x:c>
      <x:c r="F10" s="91" t="str">
        <x:v>是</x:v>
      </x:c>
      <x:c r="G10" s="91" t="str">
        <x:v>4.8—5.2</x:v>
      </x:c>
    </x:row>
    <x:row r="11" ht="31" customHeight="1">
      <x:c r="A11" s="91" t="str">
        <x:v>2021综合收入观测</x:v>
      </x:c>
      <x:c r="B11" s="153" t="n">
        <x:v>110</x:v>
      </x:c>
      <x:c r="C11" s="91" t="str">
        <x:v>亿元</x:v>
      </x:c>
      <x:c r="D11" s="91" t="str">
        <x:v>官方观测</x:v>
      </x:c>
      <x:c r="E11" s="91" t="str">
        <x:v>用于分配2021—2022游客余量</x:v>
      </x:c>
      <x:c r="F11" s="91" t="str">
        <x:v>否</x:v>
      </x:c>
      <x:c r="G11" s="91" t="str">
        <x:v>固定</x:v>
      </x:c>
    </x:row>
    <x:row r="12" ht="31" customHeight="1">
      <x:c r="A12" s="91" t="str">
        <x:v>2023游客量观测</x:v>
      </x:c>
      <x:c r="B12" s="153" t="n">
        <x:v>2363</x:v>
      </x:c>
      <x:c r="C12" s="91" t="str">
        <x:v>万人次</x:v>
      </x:c>
      <x:c r="D12" s="91" t="str">
        <x:v>官方观测</x:v>
      </x:c>
      <x:c r="E12" s="91" t="str">
        <x:v>五年累计约束已知项</x:v>
      </x:c>
      <x:c r="F12" s="91" t="str">
        <x:v>否</x:v>
      </x:c>
      <x:c r="G12" s="91" t="str">
        <x:v>固定</x:v>
      </x:c>
    </x:row>
    <x:row r="13" ht="31" customHeight="1">
      <x:c r="A13" s="91" t="str">
        <x:v>2024游客量观测</x:v>
      </x:c>
      <x:c r="B13" s="153" t="n">
        <x:v>2643</x:v>
      </x:c>
      <x:c r="C13" s="91" t="str">
        <x:v>万人次</x:v>
      </x:c>
      <x:c r="D13" s="91" t="str">
        <x:v>官方观测</x:v>
      </x:c>
      <x:c r="E13" s="91" t="str">
        <x:v>五年累计约束已知项</x:v>
      </x:c>
      <x:c r="F13" s="91" t="str">
        <x:v>否</x:v>
      </x:c>
      <x:c r="G13" s="91" t="str">
        <x:v>固定</x:v>
      </x:c>
    </x:row>
    <x:row r="14" ht="31" customHeight="1">
      <x:c r="A14" s="91" t="str">
        <x:v>2023综合收入观测</x:v>
      </x:c>
      <x:c r="B14" s="153" t="n">
        <x:v>191.5</x:v>
      </x:c>
      <x:c r="C14" s="91" t="str">
        <x:v>亿元</x:v>
      </x:c>
      <x:c r="D14" s="91" t="str">
        <x:v>官方观测</x:v>
      </x:c>
      <x:c r="E14" s="91" t="str">
        <x:v>五年累计约束已知项</x:v>
      </x:c>
      <x:c r="F14" s="91" t="str">
        <x:v>否</x:v>
      </x:c>
      <x:c r="G14" s="91" t="str">
        <x:v>固定</x:v>
      </x:c>
    </x:row>
    <x:row r="15" ht="31" customHeight="1">
      <x:c r="A15" s="91" t="str">
        <x:v>2024综合收入观测</x:v>
      </x:c>
      <x:c r="B15" s="153" t="n">
        <x:v>221</x:v>
      </x:c>
      <x:c r="C15" s="91" t="str">
        <x:v>亿元</x:v>
      </x:c>
      <x:c r="D15" s="91" t="str">
        <x:v>官方观测</x:v>
      </x:c>
      <x:c r="E15" s="91" t="str">
        <x:v>五年累计约束已知项</x:v>
      </x:c>
      <x:c r="F15" s="91" t="str">
        <x:v>否</x:v>
      </x:c>
      <x:c r="G15" s="91" t="str">
        <x:v>固定</x:v>
      </x:c>
    </x:row>
    <x:row r="16" ht="31" customHeight="1">
      <x:c r="A16" s="162" t="str">
        <x:v>2021—2022游客余量</x:v>
      </x:c>
      <x:c r="B16" s="163" t="n">
        <x:f>B4-B6-B12-B13</x:f>
        <x:v>2694</x:v>
      </x:c>
      <x:c r="C16" s="162" t="str">
        <x:v>万人次</x:v>
      </x:c>
      <x:c r="D16" s="162" t="str">
        <x:v>公式输出</x:v>
      </x:c>
      <x:c r="E16" s="162" t="str">
        <x:v>五年累计－2023－2024－2025替代值</x:v>
      </x:c>
      <x:c r="F16" s="162" t="str">
        <x:v>否</x:v>
      </x:c>
      <x:c r="G16" s="162"/>
    </x:row>
    <x:row r="17" ht="31" customHeight="1">
      <x:c r="A17" s="162" t="str">
        <x:v>2022综合收入</x:v>
      </x:c>
      <x:c r="B17" s="163" t="n">
        <x:f>B5-B7-B11-B14-B15</x:f>
        <x:v>39</x:v>
      </x:c>
      <x:c r="C17" s="162" t="str">
        <x:v>亿元</x:v>
      </x:c>
      <x:c r="D17" s="162" t="str">
        <x:v>公式输出</x:v>
      </x:c>
      <x:c r="E17" s="162" t="str">
        <x:v>五年累计－2021－2023－2024－2025替代值</x:v>
      </x:c>
      <x:c r="F17" s="162" t="str">
        <x:v>否</x:v>
      </x:c>
      <x:c r="G17" s="162"/>
    </x:row>
    <x:row r="18" ht="31" customHeight="1">
      <x:c r="A18" s="162" t="str">
        <x:v>2021游客量</x:v>
      </x:c>
      <x:c r="B18" s="163" t="n">
        <x:f>B16*B11/(B11+B17)</x:f>
        <x:v>1988.8590604026845</x:v>
      </x:c>
      <x:c r="C18" s="162" t="str">
        <x:v>万人次</x:v>
      </x:c>
      <x:c r="D18" s="162" t="str">
        <x:v>公式输出</x:v>
      </x:c>
      <x:c r="E18" s="162" t="str">
        <x:v>游客余量按2021/2022收入占比分配</x:v>
      </x:c>
      <x:c r="F18" s="162" t="str">
        <x:v>否</x:v>
      </x:c>
      <x:c r="G18" s="162"/>
    </x:row>
    <x:row r="19" ht="31" customHeight="1">
      <x:c r="A19" s="162" t="str">
        <x:v>2022游客量</x:v>
      </x:c>
      <x:c r="B19" s="163" t="n">
        <x:f>B16*B17/(B11+B17)</x:f>
        <x:v>705.1409395973154</x:v>
      </x:c>
      <x:c r="C19" s="162" t="str">
        <x:v>万人次</x:v>
      </x:c>
      <x:c r="D19" s="162" t="str">
        <x:v>公式输出</x:v>
      </x:c>
      <x:c r="E19" s="162" t="str">
        <x:v>游客余量按2021/2022收入占比分配</x:v>
      </x:c>
      <x:c r="F19" s="162" t="str">
        <x:v>否</x:v>
      </x:c>
      <x:c r="G19" s="162"/>
    </x:row>
    <x:row r="20" ht="31" customHeight="1">
      <x:c r="A20" s="162" t="str">
        <x:v>2020游客量</x:v>
      </x:c>
      <x:c r="B20" s="163" t="n">
        <x:f>'原始年度数据'!B13*B8</x:f>
        <x:v>1540.0000000000002</x:v>
      </x:c>
      <x:c r="C20" s="162" t="str">
        <x:v>万人次</x:v>
      </x:c>
      <x:c r="D20" s="162" t="str">
        <x:v>公式输出</x:v>
      </x:c>
      <x:c r="E20" s="162" t="str">
        <x:v>2019游客量×2020保留率</x:v>
      </x:c>
      <x:c r="F20" s="162" t="str">
        <x:v>否</x:v>
      </x:c>
      <x:c r="G20" s="162"/>
    </x:row>
    <x:row r="21" ht="31" customHeight="1">
      <x:c r="A21" s="162" t="str">
        <x:v>2020综合收入</x:v>
      </x:c>
      <x:c r="B21" s="163" t="n">
        <x:f>'原始年度数据'!F13/'原始年度数据'!B13*B20*B9</x:f>
        <x:v>81.67500000000001</x:v>
      </x:c>
      <x:c r="C21" s="162" t="str">
        <x:v>亿元</x:v>
      </x:c>
      <x:c r="D21" s="162" t="str">
        <x:v>公式输出</x:v>
      </x:c>
      <x:c r="E21" s="162" t="str">
        <x:v>2019人均消费×2020游客量×消费保留率</x:v>
      </x:c>
      <x:c r="F21" s="162" t="str">
        <x:v>否</x:v>
      </x:c>
      <x:c r="G21" s="162"/>
    </x:row>
    <x:row r="22" ht="31" customHeight="1">
      <x:c r="A22" s="162" t="str">
        <x:v>2016综合收入</x:v>
      </x:c>
      <x:c r="B22" s="163" t="n">
        <x:f>'原始年度数据'!D10*B10</x:f>
        <x:v>109.58600000000001</x:v>
      </x:c>
      <x:c r="C22" s="162" t="str">
        <x:v>亿元</x:v>
      </x:c>
      <x:c r="D22" s="162" t="str">
        <x:v>公式输出</x:v>
      </x:c>
      <x:c r="E22" s="162" t="str">
        <x:v>2016直接收入×桥接倍数</x:v>
      </x:c>
      <x:c r="F22" s="162" t="str">
        <x:v>否</x:v>
      </x:c>
      <x:c r="G22" s="162"/>
    </x:row>
    <x:row r="23" ht="31" customHeight="1">
      <x:c r="A23" s="164" t="str">
        <x:v>2017 GDP</x:v>
      </x:c>
      <x:c r="B23" s="165" t="n">
        <x:f>AVERAGE('原始年度数据'!H10,'原始年度数据'!H12)</x:f>
        <x:v>405</x:v>
      </x:c>
      <x:c r="C23" s="164" t="str">
        <x:v>亿元</x:v>
      </x:c>
      <x:c r="D23" s="164" t="str">
        <x:v>公式输出</x:v>
      </x:c>
      <x:c r="E23" s="164" t="str">
        <x:v>2016与2018同口径段线性插值</x:v>
      </x:c>
      <x:c r="F23" s="164" t="str">
        <x:v>否</x:v>
      </x:c>
      <x:c r="G23" s="164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6cd97426f2b48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5" hidden="0" customWidth="1"/>
    <x:col min="7" max="7" width="19" hidden="0" customWidth="1"/>
    <x:col min="8" max="8" width="24" hidden="0" customWidth="1"/>
    <x:col min="9" max="9" width="24" hidden="0" customWidth="1"/>
    <x:col min="10" max="10" width="24" hidden="0" customWidth="1"/>
    <x:col min="11" max="11" width="14" hidden="0" customWidth="1"/>
    <x:col min="12" max="12" width="28" hidden="0" customWidth="1"/>
    <x:col min="13" max="13" width="16" hidden="0" customWidth="1"/>
    <x:col min="14" max="14" width="30" hidden="0" customWidth="1"/>
    <x:col min="15" max="15" width="13" hidden="0" customWidth="1"/>
    <x:col min="16" max="16" width="22" hidden="0" customWidth="1"/>
    <x:col min="17" max="17" width="16" hidden="0" customWidth="1"/>
    <x:col min="18" max="18" width="27" hidden="0" customWidth="1"/>
    <x:col min="19" max="19" width="12" hidden="0" customWidth="1"/>
    <x:col min="20" max="20" width="12" hidden="0" customWidth="1"/>
    <x:col min="21" max="21" width="18" hidden="0" customWidth="1"/>
    <x:col min="22" max="22" width="18" hidden="0" customWidth="1"/>
    <x:col min="23" max="23" width="12" hidden="0" customWidth="1"/>
    <x:col min="24" max="24" width="14" hidden="0" customWidth="1"/>
    <x:col min="25" max="25" width="10" hidden="0" customWidth="1"/>
    <x:col min="26" max="26" width="10" hidden="0" customWidth="1"/>
    <x:col min="27" max="27" width="10" hidden="0" customWidth="1"/>
    <x:col min="28" max="28" width="12" hidden="0" customWidth="1"/>
    <x:col min="29" max="29" width="11" hidden="0" customWidth="1"/>
    <x:col min="30" max="30" width="11" hidden="0" customWidth="1"/>
  </x:cols>
  <x:sheetData>
    <x:row r="1" ht="34" customHeight="1">
      <x:c r="A1" s="4" t="str">
        <x:v>建模主数据：原始值、补全值、异常标记与转换结果</x:v>
      </x:c>
    </x:row>
    <x:row r="2" ht="38" customHeight="1">
      <x:c r="A2" s="150" t="str">
        <x:v>规则：官方值优先；疫情期缺失采用累计约束＋明确假设；常规缺失采用比例桥接或同口径线性插值。IQR异常只标记不删除。Z-score用于回归/组合模型，LN用于稳定方差。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  <x:c r="O2" s="150"/>
      <x:c r="P2" s="150"/>
      <x:c r="Q2" s="150"/>
      <x:c r="R2" s="150"/>
      <x:c r="S2" s="150"/>
      <x:c r="T2" s="150"/>
      <x:c r="U2" s="150"/>
      <x:c r="V2" s="150"/>
      <x:c r="W2" s="150"/>
      <x:c r="X2" s="150"/>
      <x:c r="Y2" s="150"/>
      <x:c r="Z2" s="150"/>
      <x:c r="AA2" s="150"/>
      <x:c r="AB2" s="150"/>
      <x:c r="AC2" s="150"/>
      <x:c r="AD2" s="150"/>
    </x:row>
    <x:row r="3" ht="31" customHeight="1">
      <x:c r="A3" s="87" t="str">
        <x:v>年份</x:v>
      </x:c>
      <x:c r="B3" s="88" t="str">
        <x:v>游客原始</x:v>
      </x:c>
      <x:c r="C3" s="88" t="str">
        <x:v>直接收入原始</x:v>
      </x:c>
      <x:c r="D3" s="88" t="str">
        <x:v>综合收入原始</x:v>
      </x:c>
      <x:c r="E3" s="88" t="str">
        <x:v>GDP原始</x:v>
      </x:c>
      <x:c r="F3" s="88" t="str">
        <x:v>第三产业原始</x:v>
      </x:c>
      <x:c r="G3" s="88" t="str">
        <x:v>游客状态</x:v>
      </x:c>
      <x:c r="H3" s="88" t="str">
        <x:v>综合收入状态</x:v>
      </x:c>
      <x:c r="I3" s="88" t="str">
        <x:v>GDP状态</x:v>
      </x:c>
      <x:c r="J3" s="88" t="str">
        <x:v>第三产业状态</x:v>
      </x:c>
      <x:c r="K3" s="88" t="str">
        <x:v>游客清洗值</x:v>
      </x:c>
      <x:c r="L3" s="88" t="str">
        <x:v>游客处理方法</x:v>
      </x:c>
      <x:c r="M3" s="88" t="str">
        <x:v>综合收入清洗值</x:v>
      </x:c>
      <x:c r="N3" s="88" t="str">
        <x:v>收入处理方法</x:v>
      </x:c>
      <x:c r="O3" s="88" t="str">
        <x:v>GDP清洗值</x:v>
      </x:c>
      <x:c r="P3" s="88" t="str">
        <x:v>GDP处理方法</x:v>
      </x:c>
      <x:c r="Q3" s="88" t="str">
        <x:v>第三产业清洗值</x:v>
      </x:c>
      <x:c r="R3" s="88" t="str">
        <x:v>第三产业处理方法</x:v>
      </x:c>
      <x:c r="S3" s="88" t="str">
        <x:v>游客同比</x:v>
      </x:c>
      <x:c r="T3" s="88" t="str">
        <x:v>收入同比</x:v>
      </x:c>
      <x:c r="U3" s="88" t="str">
        <x:v>游客IQR判定</x:v>
      </x:c>
      <x:c r="V3" s="88" t="str">
        <x:v>收入IQR判定</x:v>
      </x:c>
      <x:c r="W3" s="88" t="str">
        <x:v>疫情哑变量</x:v>
      </x:c>
      <x:c r="X3" s="88" t="str">
        <x:v>GDP口径断点</x:v>
      </x:c>
      <x:c r="Y3" s="88" t="str">
        <x:v>游客Z</x:v>
      </x:c>
      <x:c r="Z3" s="88" t="str">
        <x:v>收入Z</x:v>
      </x:c>
      <x:c r="AA3" s="88" t="str">
        <x:v>GDP Z</x:v>
      </x:c>
      <x:c r="AB3" s="88" t="str">
        <x:v>第三产业Z</x:v>
      </x:c>
      <x:c r="AC3" s="88" t="str">
        <x:v>LN游客</x:v>
      </x:c>
      <x:c r="AD3" s="89" t="str">
        <x:v>LN收入</x:v>
      </x:c>
    </x:row>
    <x:row r="4" ht="31" customHeight="1">
      <x:c r="A4" s="93" t="n">
        <x:f>'原始年度数据'!A4</x:f>
        <x:v>2010</x:v>
      </x:c>
      <x:c r="B4" s="152" t="n">
        <x:f>IF('原始年度数据'!B4="","",'原始年度数据'!B4)</x:f>
        <x:v>848</x:v>
      </x:c>
      <x:c r="C4" s="152" t="n">
        <x:f>IF('原始年度数据'!D4="","",'原始年度数据'!D4)</x:f>
        <x:v>7.104247</x:v>
      </x:c>
      <x:c r="D4" s="152" t="n">
        <x:f>IF('原始年度数据'!F4="","",'原始年度数据'!F4)</x:f>
        <x:v>35.521236</x:v>
      </x:c>
      <x:c r="E4" s="152" t="n">
        <x:f>IF('原始年度数据'!H4="","",'原始年度数据'!H4)</x:f>
        <x:v>215.47</x:v>
      </x:c>
      <x:c r="F4" s="152" t="n">
        <x:f>IF('原始年度数据'!J4="","",'原始年度数据'!J4)</x:f>
        <x:v>136.23</x:v>
      </x:c>
      <x:c r="G4" s="90" t="str">
        <x:f>IF('原始年度数据'!C4="","",'原始年度数据'!C4)</x:f>
        <x:v>observed_rounded</x:v>
      </x:c>
      <x:c r="H4" s="90" t="str">
        <x:f>IF('原始年度数据'!G4="","",'原始年度数据'!G4)</x:f>
        <x:v>inferred_from_yoy</x:v>
      </x:c>
      <x:c r="I4" s="90" t="str">
        <x:f>IF('原始年度数据'!I4="","",'原始年度数据'!I4)</x:f>
        <x:v>official_yearbook</x:v>
      </x:c>
      <x:c r="J4" s="90" t="str">
        <x:f>IF('原始年度数据'!K4="","",'原始年度数据'!K4)</x:f>
        <x:v>official_yearbook</x:v>
      </x:c>
      <x:c r="K4" s="152" t="n">
        <x:f>B4</x:f>
        <x:v>848</x:v>
      </x:c>
      <x:c r="L4" s="90" t="str">
        <x:v>保留官方优选值</x:v>
      </x:c>
      <x:c r="M4" s="152" t="n">
        <x:f>D4</x:f>
        <x:v>35.521236</x:v>
      </x:c>
      <x:c r="N4" s="90" t="str">
        <x:v>保留官方优选值</x:v>
      </x:c>
      <x:c r="O4" s="152" t="n">
        <x:f>E4</x:f>
        <x:v>215.47</x:v>
      </x:c>
      <x:c r="P4" s="90" t="str">
        <x:v>保留官方优选值</x:v>
      </x:c>
      <x:c r="Q4" s="152" t="n">
        <x:f>F4</x:f>
        <x:v>136.23</x:v>
      </x:c>
      <x:c r="R4" s="90" t="str">
        <x:v>保留官方优选值</x:v>
      </x:c>
      <x:c r="S4" s="166"/>
      <x:c r="T4" s="166"/>
      <x:c r="U4" s="90"/>
      <x:c r="V4" s="90"/>
      <x:c r="W4" s="90" t="n">
        <x:f>IF(AND(A4&gt;=2020,A4&lt;=2022),1,0)</x:f>
        <x:v>0</x:v>
      </x:c>
      <x:c r="X4" s="90" t="n">
        <x:f>IF(A4&gt;=2019,1,0)</x:f>
        <x:v>0</x:v>
      </x:c>
      <x:c r="Y4" s="168" t="n">
        <x:f>(K4-AVERAGE($K$4:$K$19))/STDEV.S($K$4:$K$19)</x:f>
        <x:v>-1.4221656767555615</x:v>
      </x:c>
      <x:c r="Z4" s="168" t="n">
        <x:f>(M4-AVERAGE($M$4:$M$19))/STDEV.S($M$4:$M$19)</x:f>
        <x:v>-1.20519747362971</x:v>
      </x:c>
      <x:c r="AA4" s="168" t="n">
        <x:f>(O4-AVERAGE($O$4:$O$19))/STDEV.S($O$4:$O$19)</x:f>
        <x:v>-1.3781060094471644</x:v>
      </x:c>
      <x:c r="AB4" s="168" t="n">
        <x:f>(Q4-AVERAGE($Q$4:$Q$19))/STDEV.S($Q$4:$Q$19)</x:f>
        <x:v>-1.2903080075090374</x:v>
      </x:c>
      <x:c r="AC4" s="168" t="n">
        <x:f>LN(K4)</x:f>
        <x:v>6.742880635791903</x:v>
      </x:c>
      <x:c r="AD4" s="168" t="n">
        <x:f>LN(M4)</x:f>
        <x:v>3.5701307148158548</x:v>
      </x:c>
    </x:row>
    <x:row r="5" ht="31" customHeight="1">
      <x:c r="A5" s="94" t="n">
        <x:f>'原始年度数据'!A5</x:f>
        <x:v>2011</x:v>
      </x:c>
      <x:c r="B5" s="153" t="n">
        <x:f>IF('原始年度数据'!B5="","",'原始年度数据'!B5)</x:f>
        <x:v>1098.6</x:v>
      </x:c>
      <x:c r="C5" s="153" t="n">
        <x:f>IF('原始年度数据'!D5="","",'原始年度数据'!D5)</x:f>
        <x:v>9.2</x:v>
      </x:c>
      <x:c r="D5" s="153" t="n">
        <x:f>IF('原始年度数据'!F5="","",'原始年度数据'!F5)</x:f>
        <x:v>46</x:v>
      </x:c>
      <x:c r="E5" s="153" t="n">
        <x:f>IF('原始年度数据'!H5="","",'原始年度数据'!H5)</x:f>
        <x:v>250.11</x:v>
      </x:c>
      <x:c r="F5" s="153" t="n">
        <x:f>IF('原始年度数据'!J5="","",'原始年度数据'!J5)</x:f>
        <x:v>147.02</x:v>
      </x:c>
      <x:c r="G5" s="91" t="str">
        <x:f>IF('原始年度数据'!C5="","",'原始年度数据'!C5)</x:f>
        <x:v>observed</x:v>
      </x:c>
      <x:c r="H5" s="91" t="str">
        <x:f>IF('原始年度数据'!G5="","",'原始年度数据'!G5)</x:f>
        <x:v>observed</x:v>
      </x:c>
      <x:c r="I5" s="91" t="str">
        <x:f>IF('原始年度数据'!I5="","",'原始年度数据'!I5)</x:f>
        <x:v>official_yearbook</x:v>
      </x:c>
      <x:c r="J5" s="91" t="str">
        <x:f>IF('原始年度数据'!K5="","",'原始年度数据'!K5)</x:f>
        <x:v>official_yearbook</x:v>
      </x:c>
      <x:c r="K5" s="153" t="n">
        <x:f>B5</x:f>
        <x:v>1098.6</x:v>
      </x:c>
      <x:c r="L5" s="91" t="str">
        <x:v>保留官方优选值</x:v>
      </x:c>
      <x:c r="M5" s="153" t="n">
        <x:f>D5</x:f>
        <x:v>46</x:v>
      </x:c>
      <x:c r="N5" s="91" t="str">
        <x:v>保留官方优选值</x:v>
      </x:c>
      <x:c r="O5" s="153" t="n">
        <x:f>E5</x:f>
        <x:v>250.11</x:v>
      </x:c>
      <x:c r="P5" s="91" t="str">
        <x:v>保留官方优选值</x:v>
      </x:c>
      <x:c r="Q5" s="153" t="n">
        <x:f>F5</x:f>
        <x:v>147.02</x:v>
      </x:c>
      <x:c r="R5" s="91" t="str">
        <x:v>保留官方优选值</x:v>
      </x:c>
      <x:c r="S5" s="157" t="n">
        <x:f>K5/K4-1</x:f>
        <x:v>0.2955188679245282</x:v>
      </x:c>
      <x:c r="T5" s="157" t="n">
        <x:f>M5/M4-1</x:f>
        <x:v>0.2949999825456524</x:v>
      </x:c>
      <x:c r="U5" s="91" t="str">
        <x:f>IF(OR(S5&lt;'异常检测'!$B$7,S5&gt;'异常检测'!$B$8),"保留-结构冲击","正常")</x:f>
        <x:v>正常</x:v>
      </x:c>
      <x:c r="V5" s="91" t="str">
        <x:f>IF(OR(T5&lt;'异常检测'!$E$7,T5&gt;'异常检测'!$E$8),"保留-结构冲击","正常")</x:f>
        <x:v>正常</x:v>
      </x:c>
      <x:c r="W5" s="91" t="n">
        <x:f>IF(AND(A5&gt;=2020,A5&lt;=2022),1,0)</x:f>
        <x:v>0</x:v>
      </x:c>
      <x:c r="X5" s="91" t="n">
        <x:f>IF(A5&gt;=2019,1,0)</x:f>
        <x:v>0</x:v>
      </x:c>
      <x:c r="Y5" s="169" t="n">
        <x:f>(K5-AVERAGE($K$4:$K$19))/STDEV.S($K$4:$K$19)</x:f>
        <x:v>-1.0696425434719057</x:v>
      </x:c>
      <x:c r="Z5" s="169" t="n">
        <x:f>(M5-AVERAGE($M$4:$M$19))/STDEV.S($M$4:$M$19)</x:f>
        <x:v>-1.0398618560512232</x:v>
      </x:c>
      <x:c r="AA5" s="169" t="n">
        <x:f>(O5-AVERAGE($O$4:$O$19))/STDEV.S($O$4:$O$19)</x:f>
        <x:v>-0.8834851308421008</x:v>
      </x:c>
      <x:c r="AB5" s="169" t="n">
        <x:f>(Q5-AVERAGE($Q$4:$Q$19))/STDEV.S($Q$4:$Q$19)</x:f>
        <x:v>-1.0252838840892464</x:v>
      </x:c>
      <x:c r="AC5" s="169" t="n">
        <x:f>LN(K5)</x:f>
        <x:v>7.00179192090852</x:v>
      </x:c>
      <x:c r="AD5" s="169" t="n">
        <x:f>LN(M5)</x:f>
        <x:v>3.828641396489095</x:v>
      </x:c>
    </x:row>
    <x:row r="6" ht="31" customHeight="1">
      <x:c r="A6" s="94" t="n">
        <x:f>'原始年度数据'!A6</x:f>
        <x:v>2012</x:v>
      </x:c>
      <x:c r="B6" s="153" t="n">
        <x:f>IF('原始年度数据'!B6="","",'原始年度数据'!B6)</x:f>
        <x:v>1152</x:v>
      </x:c>
      <x:c r="C6" s="153" t="str">
        <x:f>IF('原始年度数据'!D6="","",'原始年度数据'!D6)</x:f>
      </x:c>
      <x:c r="D6" s="153" t="n">
        <x:f>IF('原始年度数据'!F6="","",'原始年度数据'!F6)</x:f>
        <x:v>52</x:v>
      </x:c>
      <x:c r="E6" s="153" t="n">
        <x:f>IF('原始年度数据'!H6="","",'原始年度数据'!H6)</x:f>
        <x:v>333.3</x:v>
      </x:c>
      <x:c r="F6" s="153" t="str">
        <x:f>IF('原始年度数据'!J6="","",'原始年度数据'!J6)</x:f>
      </x:c>
      <x:c r="G6" s="91" t="str">
        <x:f>IF('原始年度数据'!C6="","",'原始年度数据'!C6)</x:f>
        <x:v>observed_rounded</x:v>
      </x:c>
      <x:c r="H6" s="91" t="str">
        <x:f>IF('原始年度数据'!G6="","",'原始年度数据'!G6)</x:f>
        <x:v>observed_rounded</x:v>
      </x:c>
      <x:c r="I6" s="91" t="str">
        <x:f>IF('原始年度数据'!I6="","",'原始年度数据'!I6)</x:f>
        <x:v>provisional_estimate</x:v>
      </x:c>
      <x:c r="J6" s="91" t="str">
        <x:f>IF('原始年度数据'!K6="","",'原始年度数据'!K6)</x:f>
      </x:c>
      <x:c r="K6" s="153" t="n">
        <x:f>B6</x:f>
        <x:v>1152</x:v>
      </x:c>
      <x:c r="L6" s="91" t="str">
        <x:v>保留官方优选值</x:v>
      </x:c>
      <x:c r="M6" s="153" t="n">
        <x:f>D6</x:f>
        <x:v>52</x:v>
      </x:c>
      <x:c r="N6" s="91" t="str">
        <x:v>保留官方优选值</x:v>
      </x:c>
      <x:c r="O6" s="153" t="n">
        <x:f>E6</x:f>
        <x:v>333.3</x:v>
      </x:c>
      <x:c r="P6" s="91" t="str">
        <x:v>保留官方优选值</x:v>
      </x:c>
      <x:c r="Q6" s="153" t="n">
        <x:f>O6*((Q5/O5)+((A6-A5)/(A7-A5))*((Q7/O7)-(Q5/O5)))</x:f>
        <x:v>196.61722941105916</x:v>
      </x:c>
      <x:c r="R6" s="91" t="str">
        <x:v>第三产业/GDP占比线性插值</x:v>
      </x:c>
      <x:c r="S6" s="157" t="n">
        <x:f>K6/K5-1</x:f>
        <x:v>0.04860731840524313</x:v>
      </x:c>
      <x:c r="T6" s="157" t="n">
        <x:f>M6/M5-1</x:f>
        <x:v>0.13043478260869557</x:v>
      </x:c>
      <x:c r="U6" s="91" t="str">
        <x:f>IF(OR(S6&lt;'异常检测'!$B$7,S6&gt;'异常检测'!$B$8),"保留-结构冲击","正常")</x:f>
        <x:v>正常</x:v>
      </x:c>
      <x:c r="V6" s="91" t="str">
        <x:f>IF(OR(T6&lt;'异常检测'!$E$7,T6&gt;'异常检测'!$E$8),"保留-结构冲击","正常")</x:f>
        <x:v>正常</x:v>
      </x:c>
      <x:c r="W6" s="91" t="n">
        <x:f>IF(AND(A6&gt;=2020,A6&lt;=2022),1,0)</x:f>
        <x:v>0</x:v>
      </x:c>
      <x:c r="X6" s="91" t="n">
        <x:f>IF(A6&gt;=2019,1,0)</x:f>
        <x:v>0</x:v>
      </x:c>
      <x:c r="Y6" s="169" t="n">
        <x:f>(K6-AVERAGE($K$4:$K$19))/STDEV.S($K$4:$K$19)</x:f>
        <x:v>-0.9945238869781017</x:v>
      </x:c>
      <x:c r="Z6" s="169" t="n">
        <x:f>(M6-AVERAGE($M$4:$M$19))/STDEV.S($M$4:$M$19)</x:f>
        <x:v>-0.9451928945715179</x:v>
      </x:c>
      <x:c r="AA6" s="169" t="n">
        <x:f>(O6-AVERAGE($O$4:$O$19))/STDEV.S($O$4:$O$19)</x:f>
        <x:v>0.30437603807115593</x:v>
      </x:c>
      <x:c r="AB6" s="169" t="n">
        <x:f>(Q6-AVERAGE($Q$4:$Q$19))/STDEV.S($Q$4:$Q$19)</x:f>
        <x:v>0.1929239239474729</x:v>
      </x:c>
      <x:c r="AC6" s="169" t="n">
        <x:f>LN(K6)</x:f>
        <x:v>7.049254841255837</x:v>
      </x:c>
      <x:c r="AD6" s="169" t="n">
        <x:f>LN(M6)</x:f>
        <x:v>3.9512437185814275</x:v>
      </x:c>
    </x:row>
    <x:row r="7" ht="31" customHeight="1">
      <x:c r="A7" s="94" t="n">
        <x:f>'原始年度数据'!A7</x:f>
        <x:v>2013</x:v>
      </x:c>
      <x:c r="B7" s="153" t="n">
        <x:f>IF('原始年度数据'!B7="","",'原始年度数据'!B7)</x:f>
        <x:v>1295</x:v>
      </x:c>
      <x:c r="C7" s="153" t="n">
        <x:f>IF('原始年度数据'!D7="","",'原始年度数据'!D7)</x:f>
        <x:v>12.63</x:v>
      </x:c>
      <x:c r="D7" s="153" t="n">
        <x:f>IF('原始年度数据'!F7="","",'原始年度数据'!F7)</x:f>
        <x:v>63.2</x:v>
      </x:c>
      <x:c r="E7" s="153" t="n">
        <x:f>IF('原始年度数据'!H7="","",'原始年度数据'!H7)</x:f>
        <x:v>316.8</x:v>
      </x:c>
      <x:c r="F7" s="153" t="n">
        <x:f>IF('原始年度数据'!J7="","",'原始年度数据'!J7)</x:f>
        <x:v>187.5456</x:v>
      </x:c>
      <x:c r="G7" s="91" t="str">
        <x:f>IF('原始年度数据'!C7="","",'原始年度数据'!C7)</x:f>
        <x:v>observed_cached</x:v>
      </x:c>
      <x:c r="H7" s="91" t="str">
        <x:f>IF('原始年度数据'!G7="","",'原始年度数据'!G7)</x:f>
        <x:v>observed_cached</x:v>
      </x:c>
      <x:c r="I7" s="91" t="str">
        <x:f>IF('原始年度数据'!I7="","",'原始年度数据'!I7)</x:f>
        <x:v>inferred_from_official_bulletin</x:v>
      </x:c>
      <x:c r="J7" s="91" t="str">
        <x:f>IF('原始年度数据'!K7="","",'原始年度数据'!K7)</x:f>
        <x:v>inferred_from_official_bulletin</x:v>
      </x:c>
      <x:c r="K7" s="153" t="n">
        <x:f>B7</x:f>
        <x:v>1295</x:v>
      </x:c>
      <x:c r="L7" s="91" t="str">
        <x:v>保留官方优选值</x:v>
      </x:c>
      <x:c r="M7" s="153" t="n">
        <x:f>D7</x:f>
        <x:v>63.2</x:v>
      </x:c>
      <x:c r="N7" s="91" t="str">
        <x:v>保留官方优选值</x:v>
      </x:c>
      <x:c r="O7" s="153" t="n">
        <x:f>E7</x:f>
        <x:v>316.8</x:v>
      </x:c>
      <x:c r="P7" s="91" t="str">
        <x:v>保留官方优选值</x:v>
      </x:c>
      <x:c r="Q7" s="153" t="n">
        <x:f>F7</x:f>
        <x:v>187.5456</x:v>
      </x:c>
      <x:c r="R7" s="91" t="str">
        <x:v>保留官方优选值</x:v>
      </x:c>
      <x:c r="S7" s="157" t="n">
        <x:f>K7/K6-1</x:f>
        <x:v>0.12413194444444442</x:v>
      </x:c>
      <x:c r="T7" s="157" t="n">
        <x:f>M7/M6-1</x:f>
        <x:v>0.2153846153846155</x:v>
      </x:c>
      <x:c r="U7" s="91" t="str">
        <x:f>IF(OR(S7&lt;'异常检测'!$B$7,S7&gt;'异常检测'!$B$8),"保留-结构冲击","正常")</x:f>
        <x:v>正常</x:v>
      </x:c>
      <x:c r="V7" s="91" t="str">
        <x:f>IF(OR(T7&lt;'异常检测'!$E$7,T7&gt;'异常检测'!$E$8),"保留-结构冲击","正常")</x:f>
        <x:v>正常</x:v>
      </x:c>
      <x:c r="W7" s="91" t="n">
        <x:f>IF(AND(A7&gt;=2020,A7&lt;=2022),1,0)</x:f>
        <x:v>0</x:v>
      </x:c>
      <x:c r="X7" s="91" t="n">
        <x:f>IF(A7&gt;=2019,1,0)</x:f>
        <x:v>0</x:v>
      </x:c>
      <x:c r="Y7" s="169" t="n">
        <x:f>(K7-AVERAGE($K$4:$K$19))/STDEV.S($K$4:$K$19)</x:f>
        <x:v>-0.7933634398130467</x:v>
      </x:c>
      <x:c r="Z7" s="169" t="n">
        <x:f>(M7-AVERAGE($M$4:$M$19))/STDEV.S($M$4:$M$19)</x:f>
        <x:v>-0.7684774998094015</x:v>
      </x:c>
      <x:c r="AA7" s="169" t="n">
        <x:f>(O7-AVERAGE($O$4:$O$19))/STDEV.S($O$4:$O$19)</x:f>
        <x:v>0.06877429162243928</x:v>
      </x:c>
      <x:c r="AB7" s="169" t="n">
        <x:f>(Q7-AVERAGE($Q$4:$Q$19))/STDEV.S($Q$4:$Q$19)</x:f>
        <x:v>-0.02989355822631219</x:v>
      </x:c>
      <x:c r="AC7" s="169" t="n">
        <x:f>LN(K7)</x:f>
        <x:v>7.166265974133638</x:v>
      </x:c>
      <x:c r="AD7" s="169" t="n">
        <x:f>LN(M7)</x:f>
        <x:v>4.146304301152812</x:v>
      </x:c>
    </x:row>
    <x:row r="8" ht="31" customHeight="1">
      <x:c r="A8" s="94" t="n">
        <x:f>'原始年度数据'!A8</x:f>
        <x:v>2014</x:v>
      </x:c>
      <x:c r="B8" s="153" t="n">
        <x:f>IF('原始年度数据'!B8="","",'原始年度数据'!B8)</x:f>
        <x:v>1553.4</x:v>
      </x:c>
      <x:c r="C8" s="153" t="n">
        <x:f>IF('原始年度数据'!D8="","",'原始年度数据'!D8)</x:f>
        <x:v>15.8007</x:v>
      </x:c>
      <x:c r="D8" s="153" t="n">
        <x:f>IF('原始年度数据'!F8="","",'原始年度数据'!F8)</x:f>
        <x:v>79</x:v>
      </x:c>
      <x:c r="E8" s="153" t="n">
        <x:f>IF('原始年度数据'!H8="","",'原始年度数据'!H8)</x:f>
        <x:v>361.1</x:v>
      </x:c>
      <x:c r="F8" s="153" t="n">
        <x:f>IF('原始年度数据'!J8="","",'原始年度数据'!J8)</x:f>
        <x:v>212.91</x:v>
      </x:c>
      <x:c r="G8" s="91" t="str">
        <x:f>IF('原始年度数据'!C8="","",'原始年度数据'!C8)</x:f>
        <x:v>observed_revised</x:v>
      </x:c>
      <x:c r="H8" s="91" t="str">
        <x:f>IF('原始年度数据'!G8="","",'原始年度数据'!G8)</x:f>
        <x:v>observed</x:v>
      </x:c>
      <x:c r="I8" s="91" t="str">
        <x:f>IF('原始年度数据'!I8="","",'原始年度数据'!I8)</x:f>
        <x:v>official_initial</x:v>
      </x:c>
      <x:c r="J8" s="91" t="str">
        <x:f>IF('原始年度数据'!K8="","",'原始年度数据'!K8)</x:f>
        <x:v>official_initial</x:v>
      </x:c>
      <x:c r="K8" s="153" t="n">
        <x:f>B8</x:f>
        <x:v>1553.4</x:v>
      </x:c>
      <x:c r="L8" s="91" t="str">
        <x:v>保留官方优选值</x:v>
      </x:c>
      <x:c r="M8" s="153" t="n">
        <x:f>D8</x:f>
        <x:v>79</x:v>
      </x:c>
      <x:c r="N8" s="91" t="str">
        <x:v>保留官方优选值</x:v>
      </x:c>
      <x:c r="O8" s="153" t="n">
        <x:f>E8</x:f>
        <x:v>361.1</x:v>
      </x:c>
      <x:c r="P8" s="91" t="str">
        <x:v>保留官方优选值</x:v>
      </x:c>
      <x:c r="Q8" s="153" t="n">
        <x:f>F8</x:f>
        <x:v>212.91</x:v>
      </x:c>
      <x:c r="R8" s="91" t="str">
        <x:v>保留官方优选值</x:v>
      </x:c>
      <x:c r="S8" s="157" t="n">
        <x:f>K8/K7-1</x:f>
        <x:v>0.19953667953667953</x:v>
      </x:c>
      <x:c r="T8" s="157" t="n">
        <x:f>M8/M7-1</x:f>
        <x:v>0.25</x:v>
      </x:c>
      <x:c r="U8" s="91" t="str">
        <x:f>IF(OR(S8&lt;'异常检测'!$B$7,S8&gt;'异常检测'!$B$8),"保留-结构冲击","正常")</x:f>
        <x:v>正常</x:v>
      </x:c>
      <x:c r="V8" s="91" t="str">
        <x:f>IF(OR(T8&lt;'异常检测'!$E$7,T8&gt;'异常检测'!$E$8),"保留-结构冲击","正常")</x:f>
        <x:v>正常</x:v>
      </x:c>
      <x:c r="W8" s="91" t="n">
        <x:f>IF(AND(A8&gt;=2020,A8&lt;=2022),1,0)</x:f>
        <x:v>0</x:v>
      </x:c>
      <x:c r="X8" s="91" t="n">
        <x:f>IF(A8&gt;=2019,1,0)</x:f>
        <x:v>0</x:v>
      </x:c>
      <x:c r="Y8" s="169" t="n">
        <x:f>(K8-AVERAGE($K$4:$K$19))/STDEV.S($K$4:$K$19)</x:f>
        <x:v>-0.4298679185022058</x:v>
      </x:c>
      <x:c r="Z8" s="169" t="n">
        <x:f>(M8-AVERAGE($M$4:$M$19))/STDEV.S($M$4:$M$19)</x:f>
        <x:v>-0.5191825679128445</x:v>
      </x:c>
      <x:c r="AA8" s="169" t="n">
        <x:f>(O8-AVERAGE($O$4:$O$19))/STDEV.S($O$4:$O$19)</x:f>
        <x:v>0.7013292836029332</x:v>
      </x:c>
      <x:c r="AB8" s="169" t="n">
        <x:f>(Q8-AVERAGE($Q$4:$Q$19))/STDEV.S($Q$4:$Q$19)</x:f>
        <x:v>0.5931071717152013</x:v>
      </x:c>
      <x:c r="AC8" s="169" t="n">
        <x:f>LN(K8)</x:f>
        <x:v>7.348201355985547</x:v>
      </x:c>
      <x:c r="AD8" s="169" t="n">
        <x:f>LN(M8)</x:f>
        <x:v>4.3694478524670215</x:v>
      </x:c>
    </x:row>
    <x:row r="9" ht="31" customHeight="1">
      <x:c r="A9" s="94" t="n">
        <x:f>'原始年度数据'!A9</x:f>
        <x:v>2015</x:v>
      </x:c>
      <x:c r="B9" s="153" t="n">
        <x:f>IF('原始年度数据'!B9="","",'原始年度数据'!B9)</x:f>
        <x:v>1818.72</x:v>
      </x:c>
      <x:c r="C9" s="153" t="n">
        <x:f>IF('原始年度数据'!D9="","",'原始年度数据'!D9)</x:f>
        <x:v>18.7922</x:v>
      </x:c>
      <x:c r="D9" s="153" t="n">
        <x:f>IF('原始年度数据'!F9="","",'原始年度数据'!F9)</x:f>
        <x:v>94</x:v>
      </x:c>
      <x:c r="E9" s="153" t="n">
        <x:f>IF('原始年度数据'!H9="","",'原始年度数据'!H9)</x:f>
        <x:v>409</x:v>
      </x:c>
      <x:c r="F9" s="153" t="str">
        <x:f>IF('原始年度数据'!J9="","",'原始年度数据'!J9)</x:f>
      </x:c>
      <x:c r="G9" s="91" t="str">
        <x:f>IF('原始年度数据'!C9="","",'原始年度数据'!C9)</x:f>
        <x:v>observed_revised</x:v>
      </x:c>
      <x:c r="H9" s="91" t="str">
        <x:f>IF('原始年度数据'!G9="","",'原始年度数据'!G9)</x:f>
        <x:v>observed_supporting_attachment</x:v>
      </x:c>
      <x:c r="I9" s="91" t="str">
        <x:f>IF('原始年度数据'!I9="","",'原始年度数据'!I9)</x:f>
        <x:v>provisional_estimate</x:v>
      </x:c>
      <x:c r="J9" s="91" t="str">
        <x:f>IF('原始年度数据'!K9="","",'原始年度数据'!K9)</x:f>
      </x:c>
      <x:c r="K9" s="153" t="n">
        <x:f>B9</x:f>
        <x:v>1818.72</x:v>
      </x:c>
      <x:c r="L9" s="91" t="str">
        <x:v>保留官方优选值</x:v>
      </x:c>
      <x:c r="M9" s="153" t="n">
        <x:f>D9</x:f>
        <x:v>94</x:v>
      </x:c>
      <x:c r="N9" s="91" t="str">
        <x:v>保留官方优选值</x:v>
      </x:c>
      <x:c r="O9" s="153" t="n">
        <x:f>E9</x:f>
        <x:v>409</x:v>
      </x:c>
      <x:c r="P9" s="91" t="str">
        <x:v>保留官方优选值</x:v>
      </x:c>
      <x:c r="Q9" s="153" t="n">
        <x:f>O9*((Q8/O8)+((A9-A8)/(A13-A8))*((Q13/O13)-(Q8/O8)))</x:f>
        <x:v>243.33692595416596</x:v>
      </x:c>
      <x:c r="R9" s="91" t="str">
        <x:v>2014—2019占比桥接</x:v>
      </x:c>
      <x:c r="S9" s="157" t="n">
        <x:f>K9/K8-1</x:f>
        <x:v>0.17079953650057922</x:v>
      </x:c>
      <x:c r="T9" s="157" t="n">
        <x:f>M9/M8-1</x:f>
        <x:v>0.1898734177215189</x:v>
      </x:c>
      <x:c r="U9" s="91" t="str">
        <x:f>IF(OR(S9&lt;'异常检测'!$B$7,S9&gt;'异常检测'!$B$8),"保留-结构冲击","正常")</x:f>
        <x:v>正常</x:v>
      </x:c>
      <x:c r="V9" s="91" t="str">
        <x:f>IF(OR(T9&lt;'异常检测'!$E$7,T9&gt;'异常检测'!$E$8),"保留-结构冲击","正常")</x:f>
        <x:v>正常</x:v>
      </x:c>
      <x:c r="W9" s="91" t="n">
        <x:f>IF(AND(A9&gt;=2020,A9&lt;=2022),1,0)</x:f>
        <x:v>0</x:v>
      </x:c>
      <x:c r="X9" s="91" t="n">
        <x:f>IF(A9&gt;=2019,1,0)</x:f>
        <x:v>0</x:v>
      </x:c>
      <x:c r="Y9" s="169" t="n">
        <x:f>(K9-AVERAGE($K$4:$K$19))/STDEV.S($K$4:$K$19)</x:f>
        <x:v>-0.056637919608272996</x:v>
      </x:c>
      <x:c r="Z9" s="169" t="n">
        <x:f>(M9-AVERAGE($M$4:$M$19))/STDEV.S($M$4:$M$19)</x:f>
        <x:v>-0.28251016421358144</x:v>
      </x:c>
      <x:c r="AA9" s="169" t="n">
        <x:f>(O9-AVERAGE($O$4:$O$19))/STDEV.S($O$4:$O$19)</x:f>
        <x:v>1.3852882929904193</x:v>
      </x:c>
      <x:c r="AB9" s="169" t="n">
        <x:f>(Q9-AVERAGE($Q$4:$Q$19))/STDEV.S($Q$4:$Q$19)</x:f>
        <x:v>1.3404537314336171</x:v>
      </x:c>
      <x:c r="AC9" s="169" t="n">
        <x:f>LN(K9)</x:f>
        <x:v>7.5058882359384</x:v>
      </x:c>
      <x:c r="AD9" s="169" t="n">
        <x:f>LN(M9)</x:f>
        <x:v>4.543294782270004</x:v>
      </x:c>
    </x:row>
    <x:row r="10" ht="31" customHeight="1">
      <x:c r="A10" s="94" t="n">
        <x:f>'原始年度数据'!A10</x:f>
        <x:v>2016</x:v>
      </x:c>
      <x:c r="B10" s="153" t="n">
        <x:f>IF('原始年度数据'!B10="","",'原始年度数据'!B10)</x:f>
        <x:v>2086</x:v>
      </x:c>
      <x:c r="C10" s="153" t="n">
        <x:f>IF('原始年度数据'!D10="","",'原始年度数据'!D10)</x:f>
        <x:v>21.9172</x:v>
      </x:c>
      <x:c r="D10" s="153" t="str">
        <x:f>IF('原始年度数据'!F10="","",'原始年度数据'!F10)</x:f>
      </x:c>
      <x:c r="E10" s="153" t="n">
        <x:f>IF('原始年度数据'!H10="","",'原始年度数据'!H10)</x:f>
        <x:v>430</x:v>
      </x:c>
      <x:c r="F10" s="153" t="str">
        <x:f>IF('原始年度数据'!J10="","",'原始年度数据'!J10)</x:f>
      </x:c>
      <x:c r="G10" s="91" t="str">
        <x:f>IF('原始年度数据'!C10="","",'原始年度数据'!C10)</x:f>
        <x:v>observed_revised</x:v>
      </x:c>
      <x:c r="H10" s="91" t="str">
        <x:f>IF('原始年度数据'!G10="","",'原始年度数据'!G10)</x:f>
      </x:c>
      <x:c r="I10" s="91" t="str">
        <x:f>IF('原始年度数据'!I10="","",'原始年度数据'!I10)</x:f>
        <x:v>provisional_estimate</x:v>
      </x:c>
      <x:c r="J10" s="91" t="str">
        <x:f>IF('原始年度数据'!K10="","",'原始年度数据'!K10)</x:f>
      </x:c>
      <x:c r="K10" s="153" t="n">
        <x:f>B10</x:f>
        <x:v>2086</x:v>
      </x:c>
      <x:c r="L10" s="91" t="str">
        <x:v>保留官方优选值</x:v>
      </x:c>
      <x:c r="M10" s="153" t="n">
        <x:f>'补充假设'!$B$22</x:f>
        <x:v>109.58600000000001</x:v>
      </x:c>
      <x:c r="N10" s="91" t="str">
        <x:v>直接收入×历史桥接倍数</x:v>
      </x:c>
      <x:c r="O10" s="153" t="n">
        <x:f>E10</x:f>
        <x:v>430</x:v>
      </x:c>
      <x:c r="P10" s="91" t="str">
        <x:v>保留官方优选值</x:v>
      </x:c>
      <x:c r="Q10" s="153" t="n">
        <x:f>O10*((Q8/O8)+((A10-A8)/(A13-A8))*((Q13/O13)-(Q8/O8)))</x:f>
        <x:v>258.12751790990734</x:v>
      </x:c>
      <x:c r="R10" s="91" t="str">
        <x:v>2014—2019占比桥接</x:v>
      </x:c>
      <x:c r="S10" s="157" t="n">
        <x:f>K10/K9-1</x:f>
        <x:v>0.14696049969209102</x:v>
      </x:c>
      <x:c r="T10" s="157" t="n">
        <x:f>M10/M9-1</x:f>
        <x:v>0.16580851063829805</x:v>
      </x:c>
      <x:c r="U10" s="91" t="str">
        <x:f>IF(OR(S10&lt;'异常检测'!$B$7,S10&gt;'异常检测'!$B$8),"保留-结构冲击","正常")</x:f>
        <x:v>正常</x:v>
      </x:c>
      <x:c r="V10" s="91" t="str">
        <x:f>IF(OR(T10&lt;'异常检测'!$E$7,T10&gt;'异常检测'!$E$8),"保留-结构冲击","正常")</x:f>
        <x:v>正常</x:v>
      </x:c>
      <x:c r="W10" s="91" t="n">
        <x:f>IF(AND(A10&gt;=2020,A10&lt;=2022),1,0)</x:f>
        <x:v>0</x:v>
      </x:c>
      <x:c r="X10" s="91" t="n">
        <x:f>IF(A10&gt;=2019,1,0)</x:f>
        <x:v>0</x:v>
      </x:c>
      <x:c r="Y10" s="169" t="n">
        <x:f>(K10-AVERAGE($K$4:$K$19))/STDEV.S($K$4:$K$19)</x:f>
        <x:v>0.3193492434565935</x:v>
      </x:c>
      <x:c r="Z10" s="169" t="n">
        <x:f>(M10-AVERAGE($M$4:$M$19))/STDEV.S($M$4:$M$19)</x:f>
        <x:v>-0.03659175860980038</x:v>
      </x:c>
      <x:c r="AA10" s="169" t="n">
        <x:f>(O10-AVERAGE($O$4:$O$19))/STDEV.S($O$4:$O$19)</x:f>
        <x:v>1.6851450611978769</x:v>
      </x:c>
      <x:c r="AB10" s="169" t="n">
        <x:f>(Q10-AVERAGE($Q$4:$Q$19))/STDEV.S($Q$4:$Q$19)</x:f>
        <x:v>1.7037404476458657</x:v>
      </x:c>
      <x:c r="AC10" s="169" t="n">
        <x:f>LN(K10)</x:f>
        <x:v>7.643003635560718</x:v>
      </x:c>
      <x:c r="AD10" s="169" t="n">
        <x:f>LN(M10)</x:f>
        <x:v>4.696709629128543</x:v>
      </x:c>
    </x:row>
    <x:row r="11" ht="31" customHeight="1">
      <x:c r="A11" s="94" t="n">
        <x:f>'原始年度数据'!A11</x:f>
        <x:v>2017</x:v>
      </x:c>
      <x:c r="B11" s="153" t="n">
        <x:f>IF('原始年度数据'!B11="","",'原始年度数据'!B11)</x:f>
        <x:v>2392</x:v>
      </x:c>
      <x:c r="C11" s="153" t="n">
        <x:f>IF('原始年度数据'!D11="","",'原始年度数据'!D11)</x:f>
        <x:v>26.1347</x:v>
      </x:c>
      <x:c r="D11" s="153" t="n">
        <x:f>IF('原始年度数据'!F11="","",'原始年度数据'!F11)</x:f>
        <x:v>130</x:v>
      </x:c>
      <x:c r="E11" s="153" t="str">
        <x:f>IF('原始年度数据'!H11="","",'原始年度数据'!H11)</x:f>
      </x:c>
      <x:c r="F11" s="153" t="str">
        <x:f>IF('原始年度数据'!J11="","",'原始年度数据'!J11)</x:f>
      </x:c>
      <x:c r="G11" s="91" t="str">
        <x:f>IF('原始年度数据'!C11="","",'原始年度数据'!C11)</x:f>
        <x:v>observed</x:v>
      </x:c>
      <x:c r="H11" s="91" t="str">
        <x:f>IF('原始年度数据'!G11="","",'原始年度数据'!G11)</x:f>
        <x:v>observed_rounded</x:v>
      </x:c>
      <x:c r="I11" s="91" t="str">
        <x:f>IF('原始年度数据'!I11="","",'原始年度数据'!I11)</x:f>
      </x:c>
      <x:c r="J11" s="91" t="str">
        <x:f>IF('原始年度数据'!K11="","",'原始年度数据'!K11)</x:f>
      </x:c>
      <x:c r="K11" s="153" t="n">
        <x:f>B11</x:f>
        <x:v>2392</x:v>
      </x:c>
      <x:c r="L11" s="91" t="str">
        <x:v>保留官方优选值</x:v>
      </x:c>
      <x:c r="M11" s="153" t="n">
        <x:f>D11</x:f>
        <x:v>130</x:v>
      </x:c>
      <x:c r="N11" s="91" t="str">
        <x:v>保留官方优选值</x:v>
      </x:c>
      <x:c r="O11" s="153" t="n">
        <x:f>'补充假设'!$B$23</x:f>
        <x:v>405</x:v>
      </x:c>
      <x:c r="P11" s="91" t="str">
        <x:v>同口径段线性插值</x:v>
      </x:c>
      <x:c r="Q11" s="153" t="n">
        <x:f>O11*((Q8/O8)+((A11-A8)/(A13-A8))*((Q13/O13)-(Q8/O8)))</x:f>
        <x:v>245.28310543842156</x:v>
      </x:c>
      <x:c r="R11" s="91" t="str">
        <x:v>2014—2019占比桥接</x:v>
      </x:c>
      <x:c r="S11" s="157" t="n">
        <x:f>K11/K10-1</x:f>
        <x:v>0.14669223394055608</x:v>
      </x:c>
      <x:c r="T11" s="157" t="n">
        <x:f>M11/M10-1</x:f>
        <x:v>0.18628291935101182</x:v>
      </x:c>
      <x:c r="U11" s="91" t="str">
        <x:f>IF(OR(S11&lt;'异常检测'!$B$7,S11&gt;'异常检测'!$B$8),"保留-结构冲击","正常")</x:f>
        <x:v>正常</x:v>
      </x:c>
      <x:c r="V11" s="91" t="str">
        <x:f>IF(OR(T11&lt;'异常检测'!$E$7,T11&gt;'异常检测'!$E$8),"保留-结构冲击","正常")</x:f>
        <x:v>正常</x:v>
      </x:c>
      <x:c r="W11" s="91" t="n">
        <x:f>IF(AND(A11&gt;=2020,A11&lt;=2022),1,0)</x:f>
        <x:v>0</x:v>
      </x:c>
      <x:c r="X11" s="91" t="n">
        <x:f>IF(A11&gt;=2019,1,0)</x:f>
        <x:v>0</x:v>
      </x:c>
      <x:c r="Y11" s="169" t="n">
        <x:f>(K11-AVERAGE($K$4:$K$19))/STDEV.S($K$4:$K$19)</x:f>
        <x:v>0.7498044660615365</x:v>
      </x:c>
      <x:c r="Z11" s="169" t="n">
        <x:f>(M11-AVERAGE($M$4:$M$19))/STDEV.S($M$4:$M$19)</x:f>
        <x:v>0.28550360466464975</x:v>
      </x:c>
      <x:c r="AA11" s="169" t="n">
        <x:f>(O11-AVERAGE($O$4:$O$19))/STDEV.S($O$4:$O$19)</x:f>
        <x:v>1.3281727180937608</x:v>
      </x:c>
      <x:c r="AB11" s="169" t="n">
        <x:f>(Q11-AVERAGE($Q$4:$Q$19))/STDEV.S($Q$4:$Q$19)</x:f>
        <x:v>1.3882558177943602</x:v>
      </x:c>
      <x:c r="AC11" s="169" t="n">
        <x:f>LN(K11)</x:f>
        <x:v>7.779885115070522</x:v>
      </x:c>
      <x:c r="AD11" s="169" t="n">
        <x:f>LN(M11)</x:f>
        <x:v>4.867534450455582</x:v>
      </x:c>
    </x:row>
    <x:row r="12" ht="31" customHeight="1">
      <x:c r="A12" s="94" t="n">
        <x:f>'原始年度数据'!A12</x:f>
        <x:v>2018</x:v>
      </x:c>
      <x:c r="B12" s="153" t="n">
        <x:f>IF('原始年度数据'!B12="","",'原始年度数据'!B12)</x:f>
        <x:v>2660</x:v>
      </x:c>
      <x:c r="C12" s="153" t="str">
        <x:f>IF('原始年度数据'!D12="","",'原始年度数据'!D12)</x:f>
      </x:c>
      <x:c r="D12" s="153" t="n">
        <x:f>IF('原始年度数据'!F12="","",'原始年度数据'!F12)</x:f>
        <x:v>142</x:v>
      </x:c>
      <x:c r="E12" s="153" t="n">
        <x:f>IF('原始年度数据'!H12="","",'原始年度数据'!H12)</x:f>
        <x:v>380</x:v>
      </x:c>
      <x:c r="F12" s="153" t="str">
        <x:f>IF('原始年度数据'!J12="","",'原始年度数据'!J12)</x:f>
      </x:c>
      <x:c r="G12" s="91" t="str">
        <x:f>IF('原始年度数据'!C12="","",'原始年度数据'!C12)</x:f>
        <x:v>observed_rounded</x:v>
      </x:c>
      <x:c r="H12" s="91" t="str">
        <x:f>IF('原始年度数据'!G12="","",'原始年度数据'!G12)</x:f>
        <x:v>observed_rounded</x:v>
      </x:c>
      <x:c r="I12" s="91" t="str">
        <x:f>IF('原始年度数据'!I12="","",'原始年度数据'!I12)</x:f>
        <x:v>provisional_estimate</x:v>
      </x:c>
      <x:c r="J12" s="91" t="str">
        <x:f>IF('原始年度数据'!K12="","",'原始年度数据'!K12)</x:f>
      </x:c>
      <x:c r="K12" s="153" t="n">
        <x:f>B12</x:f>
        <x:v>2660</x:v>
      </x:c>
      <x:c r="L12" s="91" t="str">
        <x:v>保留官方优选值</x:v>
      </x:c>
      <x:c r="M12" s="153" t="n">
        <x:f>D12</x:f>
        <x:v>142</x:v>
      </x:c>
      <x:c r="N12" s="91" t="str">
        <x:v>保留官方优选值</x:v>
      </x:c>
      <x:c r="O12" s="153" t="n">
        <x:f>E12</x:f>
        <x:v>380</x:v>
      </x:c>
      <x:c r="P12" s="91" t="str">
        <x:v>保留官方优选值</x:v>
      </x:c>
      <x:c r="Q12" s="153" t="n">
        <x:f>O12*((Q8/O8)+((A12-A8)/(A13-A8))*((Q13/O13)-(Q8/O8)))</x:f>
        <x:v>232.1716557619376</x:v>
      </x:c>
      <x:c r="R12" s="91" t="str">
        <x:v>2014—2019占比桥接</x:v>
      </x:c>
      <x:c r="S12" s="157" t="n">
        <x:f>K12/K11-1</x:f>
        <x:v>0.11204013377926425</x:v>
      </x:c>
      <x:c r="T12" s="157" t="n">
        <x:f>M12/M11-1</x:f>
        <x:v>0.0923076923076922</x:v>
      </x:c>
      <x:c r="U12" s="91" t="str">
        <x:f>IF(OR(S12&lt;'异常检测'!$B$7,S12&gt;'异常检测'!$B$8),"保留-结构冲击","正常")</x:f>
        <x:v>正常</x:v>
      </x:c>
      <x:c r="V12" s="91" t="str">
        <x:f>IF(OR(T12&lt;'异常检测'!$E$7,T12&gt;'异常检测'!$E$8),"保留-结构冲击","正常")</x:f>
        <x:v>正常</x:v>
      </x:c>
      <x:c r="W12" s="91" t="n">
        <x:f>IF(AND(A12&gt;=2020,A12&lt;=2022),1,0)</x:f>
        <x:v>0</x:v>
      </x:c>
      <x:c r="X12" s="91" t="n">
        <x:f>IF(A12&gt;=2019,1,0)</x:f>
        <x:v>0</x:v>
      </x:c>
      <x:c r="Y12" s="169" t="n">
        <x:f>(K12-AVERAGE($K$4:$K$19))/STDEV.S($K$4:$K$19)</x:f>
        <x:v>1.126804464944297</x:v>
      </x:c>
      <x:c r="Z12" s="169" t="n">
        <x:f>(M12-AVERAGE($M$4:$M$19))/STDEV.S($M$4:$M$19)</x:f>
        <x:v>0.4748415276240602</x:v>
      </x:c>
      <x:c r="AA12" s="169" t="n">
        <x:f>(O12-AVERAGE($O$4:$O$19))/STDEV.S($O$4:$O$19)</x:f>
        <x:v>0.9712003749896446</x:v>
      </x:c>
      <x:c r="AB12" s="169" t="n">
        <x:f>(Q12-AVERAGE($Q$4:$Q$19))/STDEV.S($Q$4:$Q$19)</x:f>
        <x:v>1.0662122165642527</x:v>
      </x:c>
      <x:c r="AC12" s="169" t="n">
        <x:f>LN(K12)</x:f>
        <x:v>7.886081401775745</x:v>
      </x:c>
      <x:c r="AD12" s="169" t="n">
        <x:f>LN(M12)</x:f>
        <x:v>4.955827057601261</x:v>
      </x:c>
    </x:row>
    <x:row r="13" ht="31" customHeight="1">
      <x:c r="A13" s="94" t="n">
        <x:f>'原始年度数据'!A13</x:f>
        <x:v>2019</x:v>
      </x:c>
      <x:c r="B13" s="153" t="n">
        <x:f>IF('原始年度数据'!B13="","",'原始年度数据'!B13)</x:f>
        <x:v>2800</x:v>
      </x:c>
      <x:c r="C13" s="153" t="str">
        <x:f>IF('原始年度数据'!D13="","",'原始年度数据'!D13)</x:f>
      </x:c>
      <x:c r="D13" s="153" t="n">
        <x:f>IF('原始年度数据'!F13="","",'原始年度数据'!F13)</x:f>
        <x:v>165</x:v>
      </x:c>
      <x:c r="E13" s="153" t="n">
        <x:f>IF('原始年度数据'!H13="","",'原始年度数据'!H13)</x:f>
        <x:v>210.8</x:v>
      </x:c>
      <x:c r="F13" s="153" t="n">
        <x:f>IF('原始年度数据'!J13="","",'原始年度数据'!J13)</x:f>
        <x:v>129.92</x:v>
      </x:c>
      <x:c r="G13" s="91" t="str">
        <x:f>IF('原始年度数据'!C13="","",'原始年度数据'!C13)</x:f>
        <x:v>observed_rounded</x:v>
      </x:c>
      <x:c r="H13" s="91" t="str">
        <x:f>IF('原始年度数据'!G13="","",'原始年度数据'!G13)</x:f>
        <x:v>observed_rounded</x:v>
      </x:c>
      <x:c r="I13" s="91" t="str">
        <x:f>IF('原始年度数据'!I13="","",'原始年度数据'!I13)</x:f>
        <x:v>official_initial</x:v>
      </x:c>
      <x:c r="J13" s="91" t="str">
        <x:f>IF('原始年度数据'!K13="","",'原始年度数据'!K13)</x:f>
        <x:v>official_initial</x:v>
      </x:c>
      <x:c r="K13" s="153" t="n">
        <x:f>B13</x:f>
        <x:v>2800</x:v>
      </x:c>
      <x:c r="L13" s="91" t="str">
        <x:v>保留官方优选值</x:v>
      </x:c>
      <x:c r="M13" s="153" t="n">
        <x:f>D13</x:f>
        <x:v>165</x:v>
      </x:c>
      <x:c r="N13" s="91" t="str">
        <x:v>保留官方优选值</x:v>
      </x:c>
      <x:c r="O13" s="153" t="n">
        <x:f>E13</x:f>
        <x:v>210.8</x:v>
      </x:c>
      <x:c r="P13" s="91" t="str">
        <x:v>保留官方优选值</x:v>
      </x:c>
      <x:c r="Q13" s="153" t="n">
        <x:f>F13</x:f>
        <x:v>129.92</x:v>
      </x:c>
      <x:c r="R13" s="91" t="str">
        <x:v>保留官方优选值</x:v>
      </x:c>
      <x:c r="S13" s="157" t="n">
        <x:f>K13/K12-1</x:f>
        <x:v>0.05263157894736836</x:v>
      </x:c>
      <x:c r="T13" s="157" t="n">
        <x:f>M13/M12-1</x:f>
        <x:v>0.1619718309859155</x:v>
      </x:c>
      <x:c r="U13" s="91" t="str">
        <x:f>IF(OR(S13&lt;'异常检测'!$B$7,S13&gt;'异常检测'!$B$8),"保留-结构冲击","正常")</x:f>
        <x:v>正常</x:v>
      </x:c>
      <x:c r="V13" s="91" t="str">
        <x:f>IF(OR(T13&lt;'异常检测'!$E$7,T13&gt;'异常检测'!$E$8),"保留-结构冲击","正常")</x:f>
        <x:v>正常</x:v>
      </x:c>
      <x:c r="W13" s="91" t="n">
        <x:f>IF(AND(A13&gt;=2020,A13&lt;=2022),1,0)</x:f>
        <x:v>0</x:v>
      </x:c>
      <x:c r="X13" s="91" t="n">
        <x:f>IF(A13&gt;=2019,1,0)</x:f>
        <x:v>1</x:v>
      </x:c>
      <x:c r="Y13" s="169" t="n">
        <x:f>(K13-AVERAGE($K$4:$K$19))/STDEV.S($K$4:$K$19)</x:f>
        <x:v>1.3237447628681271</x:v>
      </x:c>
      <x:c r="Z13" s="169" t="n">
        <x:f>(M13-AVERAGE($M$4:$M$19))/STDEV.S($M$4:$M$19)</x:f>
        <x:v>0.8377392132962634</x:v>
      </x:c>
      <x:c r="AA13" s="169" t="n">
        <x:f>(O13-AVERAGE($O$4:$O$19))/STDEV.S($O$4:$O$19)</x:f>
        <x:v>-1.444788443139013</x:v>
      </x:c>
      <x:c r="AB13" s="169" t="n">
        <x:f>(Q13-AVERAGE($Q$4:$Q$19))/STDEV.S($Q$4:$Q$19)</x:f>
        <x:v>-1.4452943113810373</x:v>
      </x:c>
      <x:c r="AC13" s="169" t="n">
        <x:f>LN(K13)</x:f>
        <x:v>7.937374696163295</x:v>
      </x:c>
      <x:c r="AD13" s="169" t="n">
        <x:f>LN(M13)</x:f>
        <x:v>5.10594547390058</x:v>
      </x:c>
    </x:row>
    <x:row r="14" ht="31" customHeight="1">
      <x:c r="A14" s="94" t="n">
        <x:f>'原始年度数据'!A14</x:f>
        <x:v>2020</x:v>
      </x:c>
      <x:c r="B14" s="153" t="str">
        <x:f>IF('原始年度数据'!B14="","",'原始年度数据'!B14)</x:f>
      </x:c>
      <x:c r="C14" s="153" t="str">
        <x:f>IF('原始年度数据'!D14="","",'原始年度数据'!D14)</x:f>
      </x:c>
      <x:c r="D14" s="153" t="str">
        <x:f>IF('原始年度数据'!F14="","",'原始年度数据'!F14)</x:f>
      </x:c>
      <x:c r="E14" s="153" t="n">
        <x:f>IF('原始年度数据'!H14="","",'原始年度数据'!H14)</x:f>
        <x:v>224.6</x:v>
      </x:c>
      <x:c r="F14" s="153" t="n">
        <x:f>IF('原始年度数据'!J14="","",'原始年度数据'!J14)</x:f>
        <x:v>142.55</x:v>
      </x:c>
      <x:c r="G14" s="91" t="str">
        <x:f>IF('原始年度数据'!C14="","",'原始年度数据'!C14)</x:f>
      </x:c>
      <x:c r="H14" s="91" t="str">
        <x:f>IF('原始年度数据'!G14="","",'原始年度数据'!G14)</x:f>
      </x:c>
      <x:c r="I14" s="91" t="str">
        <x:f>IF('原始年度数据'!I14="","",'原始年度数据'!I14)</x:f>
        <x:v>official_initial</x:v>
      </x:c>
      <x:c r="J14" s="91" t="str">
        <x:f>IF('原始年度数据'!K14="","",'原始年度数据'!K14)</x:f>
        <x:v>official_initial</x:v>
      </x:c>
      <x:c r="K14" s="153" t="n">
        <x:f>'补充假设'!$B$20</x:f>
        <x:v>1540.0000000000002</x:v>
      </x:c>
      <x:c r="L14" s="91" t="str">
        <x:v>2019×疫情保留率（假设）</x:v>
      </x:c>
      <x:c r="M14" s="153" t="n">
        <x:f>'补充假设'!$B$21</x:f>
        <x:v>81.67500000000001</x:v>
      </x:c>
      <x:c r="N14" s="91" t="str">
        <x:v>2019人均消费×游客量×保留率</x:v>
      </x:c>
      <x:c r="O14" s="153" t="n">
        <x:f>E14</x:f>
        <x:v>224.6</x:v>
      </x:c>
      <x:c r="P14" s="91" t="str">
        <x:v>保留官方优选值</x:v>
      </x:c>
      <x:c r="Q14" s="153" t="n">
        <x:f>F14</x:f>
        <x:v>142.55</x:v>
      </x:c>
      <x:c r="R14" s="91" t="str">
        <x:v>保留官方优选值</x:v>
      </x:c>
      <x:c r="S14" s="157" t="n">
        <x:f>K14/K13-1</x:f>
        <x:v>-0.44999999999999996</x:v>
      </x:c>
      <x:c r="T14" s="157" t="n">
        <x:f>M14/M13-1</x:f>
        <x:v>-0.5049999999999999</x:v>
      </x:c>
      <x:c r="U14" s="91" t="str">
        <x:f>IF(OR(S14&lt;'异常检测'!$B$7,S14&gt;'异常检测'!$B$8),"保留-结构冲击","正常")</x:f>
        <x:v>保留-结构冲击</x:v>
      </x:c>
      <x:c r="V14" s="91" t="str">
        <x:f>IF(OR(T14&lt;'异常检测'!$E$7,T14&gt;'异常检测'!$E$8),"保留-结构冲击","正常")</x:f>
        <x:v>保留-结构冲击</x:v>
      </x:c>
      <x:c r="W14" s="91" t="n">
        <x:f>IF(AND(A14&gt;=2020,A14&lt;=2022),1,0)</x:f>
        <x:v>1</x:v>
      </x:c>
      <x:c r="X14" s="91" t="n">
        <x:f>IF(A14&gt;=2019,1,0)</x:f>
        <x:v>1</x:v>
      </x:c>
      <x:c r="Y14" s="169" t="n">
        <x:f>(K14-AVERAGE($K$4:$K$19))/STDEV.S($K$4:$K$19)</x:f>
        <x:v>-0.4487179184463436</x:v>
      </x:c>
      <x:c r="Z14" s="169" t="n">
        <x:f>(M14-AVERAGE($M$4:$M$19))/STDEV.S($M$4:$M$19)</x:f>
        <x:v>-0.4769759892531424</x:v>
      </x:c>
      <x:c r="AA14" s="169" t="n">
        <x:f>(O14-AVERAGE($O$4:$O$19))/STDEV.S($O$4:$O$19)</x:f>
        <x:v>-1.2477397097455412</x:v>
      </x:c>
      <x:c r="AB14" s="169" t="n">
        <x:f>(Q14-AVERAGE($Q$4:$Q$19))/STDEV.S($Q$4:$Q$19)</x:f>
        <x:v>-1.1350760835041178</x:v>
      </x:c>
      <x:c r="AC14" s="169" t="n">
        <x:f>LN(K14)</x:f>
        <x:v>7.3395376954076745</x:v>
      </x:c>
      <x:c r="AD14" s="169" t="n">
        <x:f>LN(M14)</x:f>
        <x:v>4.402747957487134</x:v>
      </x:c>
    </x:row>
    <x:row r="15" ht="31" customHeight="1">
      <x:c r="A15" s="94" t="n">
        <x:f>'原始年度数据'!A15</x:f>
        <x:v>2021</x:v>
      </x:c>
      <x:c r="B15" s="153" t="str">
        <x:f>IF('原始年度数据'!B15="","",'原始年度数据'!B15)</x:f>
      </x:c>
      <x:c r="C15" s="153" t="str">
        <x:f>IF('原始年度数据'!D15="","",'原始年度数据'!D15)</x:f>
      </x:c>
      <x:c r="D15" s="153" t="n">
        <x:f>IF('原始年度数据'!F15="","",'原始年度数据'!F15)</x:f>
        <x:v>110</x:v>
      </x:c>
      <x:c r="E15" s="153" t="n">
        <x:f>IF('原始年度数据'!H15="","",'原始年度数据'!H15)</x:f>
        <x:v>274.2034</x:v>
      </x:c>
      <x:c r="F15" s="153" t="n">
        <x:f>IF('原始年度数据'!J15="","",'原始年度数据'!J15)</x:f>
        <x:v>161.9732</x:v>
      </x:c>
      <x:c r="G15" s="91" t="str">
        <x:f>IF('原始年度数据'!C15="","",'原始年度数据'!C15)</x:f>
      </x:c>
      <x:c r="H15" s="91" t="str">
        <x:f>IF('原始年度数据'!G15="","",'原始年度数据'!G15)</x:f>
        <x:v>observed_rounded</x:v>
      </x:c>
      <x:c r="I15" s="91" t="str">
        <x:f>IF('原始年度数据'!I15="","",'原始年度数据'!I15)</x:f>
        <x:v>official_revised</x:v>
      </x:c>
      <x:c r="J15" s="91" t="str">
        <x:f>IF('原始年度数据'!K15="","",'原始年度数据'!K15)</x:f>
        <x:v>official_revised</x:v>
      </x:c>
      <x:c r="K15" s="153" t="n">
        <x:f>'补充假设'!$B$18</x:f>
        <x:v>1988.8590604026845</x:v>
      </x:c>
      <x:c r="L15" s="91" t="str">
        <x:v>累计余量按收入份额分配</x:v>
      </x:c>
      <x:c r="M15" s="153" t="n">
        <x:f>D15</x:f>
        <x:v>110</x:v>
      </x:c>
      <x:c r="N15" s="91" t="str">
        <x:v>保留官方优选值</x:v>
      </x:c>
      <x:c r="O15" s="153" t="n">
        <x:f>E15</x:f>
        <x:v>274.2034</x:v>
      </x:c>
      <x:c r="P15" s="91" t="str">
        <x:v>保留官方优选值</x:v>
      </x:c>
      <x:c r="Q15" s="153" t="n">
        <x:f>F15</x:f>
        <x:v>161.9732</x:v>
      </x:c>
      <x:c r="R15" s="91" t="str">
        <x:v>保留官方优选值</x:v>
      </x:c>
      <x:c r="S15" s="157" t="n">
        <x:f>K15/K14-1</x:f>
        <x:v>0.2914669223394053</x:v>
      </x:c>
      <x:c r="T15" s="157" t="n">
        <x:f>M15/M14-1</x:f>
        <x:v>0.34680134680134667</x:v>
      </x:c>
      <x:c r="U15" s="91" t="str">
        <x:f>IF(OR(S15&lt;'异常检测'!$B$7,S15&gt;'异常检测'!$B$8),"保留-结构冲击","正常")</x:f>
        <x:v>正常</x:v>
      </x:c>
      <x:c r="V15" s="91" t="str">
        <x:f>IF(OR(T15&lt;'异常检测'!$E$7,T15&gt;'异常检测'!$E$8),"保留-结构冲击","正常")</x:f>
        <x:v>正常</x:v>
      </x:c>
      <x:c r="W15" s="91" t="n">
        <x:f>IF(AND(A15&gt;=2020,A15&lt;=2022),1,0)</x:f>
        <x:v>1</x:v>
      </x:c>
      <x:c r="X15" s="91" t="n">
        <x:f>IF(A15&gt;=2019,1,0)</x:f>
        <x:v>1</x:v>
      </x:c>
      <x:c r="Y15" s="169" t="n">
        <x:f>(K15-AVERAGE($K$4:$K$19))/STDEV.S($K$4:$K$19)</x:f>
        <x:v>0.18269948927876414</x:v>
      </x:c>
      <x:c r="Z15" s="169" t="n">
        <x:f>(M15-AVERAGE($M$4:$M$19))/STDEV.S($M$4:$M$19)</x:f>
        <x:v>-0.030059600267700923</x:v>
      </x:c>
      <x:c r="AA15" s="169" t="n">
        <x:f>(O15-AVERAGE($O$4:$O$19))/STDEV.S($O$4:$O$19)</x:f>
        <x:v>-0.5394580327883127</x:v>
      </x:c>
      <x:c r="AB15" s="169" t="n">
        <x:f>(Q15-AVERAGE($Q$4:$Q$19))/STDEV.S($Q$4:$Q$19)</x:f>
        <x:v>-0.6580031869325451</x:v>
      </x:c>
      <x:c r="AC15" s="169" t="n">
        <x:f>LN(K15)</x:f>
        <x:v>7.595316416817266</x:v>
      </x:c>
      <x:c r="AD15" s="169" t="n">
        <x:f>LN(M15)</x:f>
        <x:v>4.700480365792417</x:v>
      </x:c>
    </x:row>
    <x:row r="16" ht="31" customHeight="1">
      <x:c r="A16" s="94" t="n">
        <x:f>'原始年度数据'!A16</x:f>
        <x:v>2022</x:v>
      </x:c>
      <x:c r="B16" s="153" t="str">
        <x:f>IF('原始年度数据'!B16="","",'原始年度数据'!B16)</x:f>
      </x:c>
      <x:c r="C16" s="153" t="str">
        <x:f>IF('原始年度数据'!D16="","",'原始年度数据'!D16)</x:f>
      </x:c>
      <x:c r="D16" s="153" t="str">
        <x:f>IF('原始年度数据'!F16="","",'原始年度数据'!F16)</x:f>
      </x:c>
      <x:c r="E16" s="153" t="n">
        <x:f>IF('原始年度数据'!H16="","",'原始年度数据'!H16)</x:f>
        <x:v>282.2414</x:v>
      </x:c>
      <x:c r="F16" s="153" t="n">
        <x:f>IF('原始年度数据'!J16="","",'原始年度数据'!J16)</x:f>
        <x:v>171.2106</x:v>
      </x:c>
      <x:c r="G16" s="91" t="str">
        <x:f>IF('原始年度数据'!C16="","",'原始年度数据'!C16)</x:f>
      </x:c>
      <x:c r="H16" s="91" t="str">
        <x:f>IF('原始年度数据'!G16="","",'原始年度数据'!G16)</x:f>
      </x:c>
      <x:c r="I16" s="91" t="str">
        <x:f>IF('原始年度数据'!I16="","",'原始年度数据'!I16)</x:f>
        <x:v>official_revised</x:v>
      </x:c>
      <x:c r="J16" s="91" t="str">
        <x:f>IF('原始年度数据'!K16="","",'原始年度数据'!K16)</x:f>
        <x:v>official_revised</x:v>
      </x:c>
      <x:c r="K16" s="153" t="n">
        <x:f>'补充假设'!$B$19</x:f>
        <x:v>705.1409395973154</x:v>
      </x:c>
      <x:c r="L16" s="91" t="str">
        <x:v>累计余量按收入份额分配</x:v>
      </x:c>
      <x:c r="M16" s="153" t="n">
        <x:f>'补充假设'!$B$17</x:f>
        <x:v>39</x:v>
      </x:c>
      <x:c r="N16" s="91" t="str">
        <x:v>五年累计约束反推</x:v>
      </x:c>
      <x:c r="O16" s="153" t="n">
        <x:f>E16</x:f>
        <x:v>282.2414</x:v>
      </x:c>
      <x:c r="P16" s="91" t="str">
        <x:v>保留官方优选值</x:v>
      </x:c>
      <x:c r="Q16" s="153" t="n">
        <x:f>F16</x:f>
        <x:v>171.2106</x:v>
      </x:c>
      <x:c r="R16" s="91" t="str">
        <x:v>保留官方优选值</x:v>
      </x:c>
      <x:c r="S16" s="157" t="n">
        <x:f>K16/K15-1</x:f>
        <x:v>-0.6454545454545455</x:v>
      </x:c>
      <x:c r="T16" s="157" t="n">
        <x:f>M16/M15-1</x:f>
        <x:v>-0.6454545454545455</x:v>
      </x:c>
      <x:c r="U16" s="91" t="str">
        <x:f>IF(OR(S16&lt;'异常检测'!$B$7,S16&gt;'异常检测'!$B$8),"保留-结构冲击","正常")</x:f>
        <x:v>保留-结构冲击</x:v>
      </x:c>
      <x:c r="V16" s="91" t="str">
        <x:f>IF(OR(T16&lt;'异常检测'!$E$7,T16&gt;'异常检测'!$E$8),"保留-结构冲击","正常")</x:f>
        <x:v>保留-结构冲击</x:v>
      </x:c>
      <x:c r="W16" s="91" t="n">
        <x:f>IF(AND(A16&gt;=2020,A16&lt;=2022),1,0)</x:f>
        <x:v>1</x:v>
      </x:c>
      <x:c r="X16" s="91" t="n">
        <x:f>IF(A16&gt;=2019,1,0)</x:f>
        <x:v>1</x:v>
      </x:c>
      <x:c r="Y16" s="169" t="n">
        <x:f>(K16-AVERAGE($K$4:$K$19))/STDEV.S($K$4:$K$19)</x:f>
        <x:v>-1.6231278618757266</x:v>
      </x:c>
      <x:c r="Z16" s="169" t="n">
        <x:f>(M16-AVERAGE($M$4:$M$19))/STDEV.S($M$4:$M$19)</x:f>
        <x:v>-1.1503089777775457</x:v>
      </x:c>
      <x:c r="AA16" s="169" t="n">
        <x:f>(O16-AVERAGE($O$4:$O$19))/STDEV.S($O$4:$O$19)</x:f>
        <x:v>-0.42468428503347716</x:v>
      </x:c>
      <x:c r="AB16" s="169" t="n">
        <x:f>(Q16-AVERAGE($Q$4:$Q$19))/STDEV.S($Q$4:$Q$19)</x:f>
        <x:v>-0.4311140453497857</x:v>
      </x:c>
      <x:c r="AC16" s="169" t="n">
        <x:f>LN(K16)</x:f>
        <x:v>6.558397697154496</x:v>
      </x:c>
      <x:c r="AD16" s="169" t="n">
        <x:f>LN(M16)</x:f>
        <x:v>3.6635616461296463</x:v>
      </x:c>
    </x:row>
    <x:row r="17" ht="31" customHeight="1">
      <x:c r="A17" s="94" t="n">
        <x:f>'原始年度数据'!A17</x:f>
        <x:v>2023</x:v>
      </x:c>
      <x:c r="B17" s="153" t="n">
        <x:f>IF('原始年度数据'!B17="","",'原始年度数据'!B17)</x:f>
        <x:v>2363</x:v>
      </x:c>
      <x:c r="C17" s="153" t="str">
        <x:f>IF('原始年度数据'!D17="","",'原始年度数据'!D17)</x:f>
      </x:c>
      <x:c r="D17" s="153" t="n">
        <x:f>IF('原始年度数据'!F17="","",'原始年度数据'!F17)</x:f>
        <x:v>191.5</x:v>
      </x:c>
      <x:c r="E17" s="153" t="n">
        <x:f>IF('原始年度数据'!H17="","",'原始年度数据'!H17)</x:f>
        <x:v>288.3062</x:v>
      </x:c>
      <x:c r="F17" s="153" t="n">
        <x:f>IF('原始年度数据'!J17="","",'原始年度数据'!J17)</x:f>
        <x:v>176.1714</x:v>
      </x:c>
      <x:c r="G17" s="91" t="str">
        <x:f>IF('原始年度数据'!C17="","",'原始年度数据'!C17)</x:f>
        <x:v>observed_rounded</x:v>
      </x:c>
      <x:c r="H17" s="91" t="str">
        <x:f>IF('原始年度数据'!G17="","",'原始年度数据'!G17)</x:f>
        <x:v>observed</x:v>
      </x:c>
      <x:c r="I17" s="91" t="str">
        <x:f>IF('原始年度数据'!I17="","",'原始年度数据'!I17)</x:f>
        <x:v>official_final</x:v>
      </x:c>
      <x:c r="J17" s="91" t="str">
        <x:f>IF('原始年度数据'!K17="","",'原始年度数据'!K17)</x:f>
        <x:v>official_final</x:v>
      </x:c>
      <x:c r="K17" s="153" t="n">
        <x:f>B17</x:f>
        <x:v>2363</x:v>
      </x:c>
      <x:c r="L17" s="91" t="str">
        <x:v>保留官方优选值</x:v>
      </x:c>
      <x:c r="M17" s="153" t="n">
        <x:f>D17</x:f>
        <x:v>191.5</x:v>
      </x:c>
      <x:c r="N17" s="91" t="str">
        <x:v>保留官方优选值</x:v>
      </x:c>
      <x:c r="O17" s="153" t="n">
        <x:f>E17</x:f>
        <x:v>288.3062</x:v>
      </x:c>
      <x:c r="P17" s="91" t="str">
        <x:v>保留官方优选值</x:v>
      </x:c>
      <x:c r="Q17" s="153" t="n">
        <x:f>F17</x:f>
        <x:v>176.1714</x:v>
      </x:c>
      <x:c r="R17" s="91" t="str">
        <x:v>保留官方优选值</x:v>
      </x:c>
      <x:c r="S17" s="157" t="n">
        <x:f>K17/K16-1</x:f>
        <x:v>2.3511031161365237</x:v>
      </x:c>
      <x:c r="T17" s="157" t="n">
        <x:f>M17/M16-1</x:f>
        <x:v>3.9102564102564106</x:v>
      </x:c>
      <x:c r="U17" s="91" t="str">
        <x:f>IF(OR(S17&lt;'异常检测'!$B$7,S17&gt;'异常检测'!$B$8),"保留-结构冲击","正常")</x:f>
        <x:v>保留-结构冲击</x:v>
      </x:c>
      <x:c r="V17" s="91" t="str">
        <x:f>IF(OR(T17&lt;'异常检测'!$E$7,T17&gt;'异常检测'!$E$8),"保留-结构冲击","正常")</x:f>
        <x:v>保留-结构冲击</x:v>
      </x:c>
      <x:c r="W17" s="91" t="n">
        <x:f>IF(AND(A17&gt;=2020,A17&lt;=2022),1,0)</x:f>
        <x:v>0</x:v>
      </x:c>
      <x:c r="X17" s="91" t="n">
        <x:f>IF(A17&gt;=2019,1,0)</x:f>
        <x:v>1</x:v>
      </x:c>
      <x:c r="Y17" s="169" t="n">
        <x:f>(K17-AVERAGE($K$4:$K$19))/STDEV.S($K$4:$K$19)</x:f>
        <x:v>0.7090096900630288</x:v>
      </x:c>
      <x:c r="Z17" s="169" t="n">
        <x:f>(M17-AVERAGE($M$4:$M$19))/STDEV.S($M$4:$M$19)</x:f>
        <x:v>1.255860459831628</x:v>
      </x:c>
      <x:c r="AA17" s="169" t="n">
        <x:f>(O17-AVERAGE($O$4:$O$19))/STDEV.S($O$4:$O$19)</x:f>
        <x:v>-0.3380856503751636</x:v>
      </x:c>
      <x:c r="AB17" s="169" t="n">
        <x:f>(Q17-AVERAGE($Q$4:$Q$19))/STDEV.S($Q$4:$Q$19)</x:f>
        <x:v>-0.30926680981124094</x:v>
      </x:c>
      <x:c r="AC17" s="169" t="n">
        <x:f>LN(K17)</x:f>
        <x:v>7.767687277186908</x:v>
      </x:c>
      <x:c r="AD17" s="169" t="n">
        <x:f>LN(M17)</x:f>
        <x:v>5.254887808620701</x:v>
      </x:c>
    </x:row>
    <x:row r="18" ht="31" customHeight="1">
      <x:c r="A18" s="94" t="n">
        <x:f>'原始年度数据'!A18</x:f>
        <x:v>2024</x:v>
      </x:c>
      <x:c r="B18" s="153" t="n">
        <x:f>IF('原始年度数据'!B18="","",'原始年度数据'!B18)</x:f>
        <x:v>2643</x:v>
      </x:c>
      <x:c r="C18" s="153" t="str">
        <x:f>IF('原始年度数据'!D18="","",'原始年度数据'!D18)</x:f>
      </x:c>
      <x:c r="D18" s="153" t="n">
        <x:f>IF('原始年度数据'!F18="","",'原始年度数据'!F18)</x:f>
        <x:v>221</x:v>
      </x:c>
      <x:c r="E18" s="153" t="n">
        <x:f>IF('原始年度数据'!H18="","",'原始年度数据'!H18)</x:f>
        <x:v>298.865</x:v>
      </x:c>
      <x:c r="F18" s="153" t="n">
        <x:f>IF('原始年度数据'!J18="","",'原始年度数据'!J18)</x:f>
        <x:v>183.9654</x:v>
      </x:c>
      <x:c r="G18" s="91" t="str">
        <x:f>IF('原始年度数据'!C18="","",'原始年度数据'!C18)</x:f>
        <x:v>observed_rounded</x:v>
      </x:c>
      <x:c r="H18" s="91" t="str">
        <x:f>IF('原始年度数据'!G18="","",'原始年度数据'!G18)</x:f>
        <x:v>observed_rounded</x:v>
      </x:c>
      <x:c r="I18" s="91" t="str">
        <x:f>IF('原始年度数据'!I18="","",'原始年度数据'!I18)</x:f>
        <x:v>official_yearbook</x:v>
      </x:c>
      <x:c r="J18" s="91" t="str">
        <x:f>IF('原始年度数据'!K18="","",'原始年度数据'!K18)</x:f>
        <x:v>official_yearbook</x:v>
      </x:c>
      <x:c r="K18" s="153" t="n">
        <x:f>B18</x:f>
        <x:v>2643</x:v>
      </x:c>
      <x:c r="L18" s="91" t="str">
        <x:v>保留官方优选值</x:v>
      </x:c>
      <x:c r="M18" s="153" t="n">
        <x:f>D18</x:f>
        <x:v>221</x:v>
      </x:c>
      <x:c r="N18" s="91" t="str">
        <x:v>保留官方优选值</x:v>
      </x:c>
      <x:c r="O18" s="153" t="n">
        <x:f>E18</x:f>
        <x:v>298.865</x:v>
      </x:c>
      <x:c r="P18" s="91" t="str">
        <x:v>保留官方优选值</x:v>
      </x:c>
      <x:c r="Q18" s="153" t="n">
        <x:f>F18</x:f>
        <x:v>183.9654</x:v>
      </x:c>
      <x:c r="R18" s="91" t="str">
        <x:v>保留官方优选值</x:v>
      </x:c>
      <x:c r="S18" s="157" t="n">
        <x:f>K18/K17-1</x:f>
        <x:v>0.1184934405416842</x:v>
      </x:c>
      <x:c r="T18" s="157" t="n">
        <x:f>M18/M17-1</x:f>
        <x:v>0.15404699738903394</x:v>
      </x:c>
      <x:c r="U18" s="91" t="str">
        <x:f>IF(OR(S18&lt;'异常检测'!$B$7,S18&gt;'异常检测'!$B$8),"保留-结构冲击","正常")</x:f>
        <x:v>正常</x:v>
      </x:c>
      <x:c r="V18" s="91" t="str">
        <x:f>IF(OR(T18&lt;'异常检测'!$E$7,T18&gt;'异常检测'!$E$8),"保留-结构冲击","正常")</x:f>
        <x:v>正常</x:v>
      </x:c>
      <x:c r="W18" s="91" t="n">
        <x:f>IF(AND(A18&gt;=2020,A18&lt;=2022),1,0)</x:f>
        <x:v>0</x:v>
      </x:c>
      <x:c r="X18" s="91" t="n">
        <x:f>IF(A18&gt;=2019,1,0)</x:f>
        <x:v>1</x:v>
      </x:c>
      <x:c r="Y18" s="169" t="n">
        <x:f>(K18-AVERAGE($K$4:$K$19))/STDEV.S($K$4:$K$19)</x:f>
        <x:v>1.102890285910689</x:v>
      </x:c>
      <x:c r="Z18" s="169" t="n">
        <x:f>(M18-AVERAGE($M$4:$M$19))/STDEV.S($M$4:$M$19)</x:f>
        <x:v>1.7213161871068454</x:v>
      </x:c>
      <x:c r="AA18" s="169" t="n">
        <x:f>(O18-AVERAGE($O$4:$O$19))/STDEV.S($O$4:$O$19)</x:f>
        <x:v>-0.18731766732045366</x:v>
      </x:c>
      <x:c r="AB18" s="169" t="n">
        <x:f>(Q18-AVERAGE($Q$4:$Q$19))/STDEV.S($Q$4:$Q$19)</x:f>
        <x:v>-0.1178304782140359</x:v>
      </x:c>
      <x:c r="AC18" s="169" t="n">
        <x:f>LN(K18)</x:f>
        <x:v>7.879669914604289</x:v>
      </x:c>
      <x:c r="AD18" s="169" t="n">
        <x:f>LN(M18)</x:f>
        <x:v>5.3981627015177525</x:v>
      </x:c>
    </x:row>
    <x:row r="19" ht="31" customHeight="1">
      <x:c r="A19" s="151" t="n">
        <x:f>'原始年度数据'!A19</x:f>
        <x:v>2025</x:v>
      </x:c>
      <x:c r="B19" s="154" t="str">
        <x:f>IF('原始年度数据'!B19="","",'原始年度数据'!B19)</x:f>
      </x:c>
      <x:c r="C19" s="154" t="str">
        <x:f>IF('原始年度数据'!D19="","",'原始年度数据'!D19)</x:f>
      </x:c>
      <x:c r="D19" s="154" t="str">
        <x:f>IF('原始年度数据'!F19="","",'原始年度数据'!F19)</x:f>
      </x:c>
      <x:c r="E19" s="154" t="n">
        <x:f>IF('原始年度数据'!H19="","",'原始年度数据'!H19)</x:f>
        <x:v>311.94</x:v>
      </x:c>
      <x:c r="F19" s="154" t="n">
        <x:f>IF('原始年度数据'!J19="","",'原始年度数据'!J19)</x:f>
        <x:v>195.17</x:v>
      </x:c>
      <x:c r="G19" s="92" t="str">
        <x:f>IF('原始年度数据'!C19="","",'原始年度数据'!C19)</x:f>
      </x:c>
      <x:c r="H19" s="92" t="str">
        <x:f>IF('原始年度数据'!G19="","",'原始年度数据'!G19)</x:f>
      </x:c>
      <x:c r="I19" s="92" t="str">
        <x:f>IF('原始年度数据'!I19="","",'原始年度数据'!I19)</x:f>
        <x:v>official_initial</x:v>
      </x:c>
      <x:c r="J19" s="92" t="str">
        <x:f>IF('原始年度数据'!K19="","",'原始年度数据'!K19)</x:f>
        <x:v>official_initial</x:v>
      </x:c>
      <x:c r="K19" s="154" t="n">
        <x:f>'补充假设'!$B$6</x:f>
        <x:v>2800</x:v>
      </x:c>
      <x:c r="L19" s="92" t="str">
        <x:v>目标值替代，非年度实际</x:v>
      </x:c>
      <x:c r="M19" s="154" t="n">
        <x:f>'补充假设'!$B$7</x:f>
        <x:v>231</x:v>
      </x:c>
      <x:c r="N19" s="92" t="str">
        <x:v>目标值替代，非年度实际</x:v>
      </x:c>
      <x:c r="O19" s="154" t="n">
        <x:f>E19</x:f>
        <x:v>311.94</x:v>
      </x:c>
      <x:c r="P19" s="92" t="str">
        <x:v>保留官方优选值</x:v>
      </x:c>
      <x:c r="Q19" s="154" t="n">
        <x:f>F19</x:f>
        <x:v>195.17</x:v>
      </x:c>
      <x:c r="R19" s="92" t="str">
        <x:v>保留官方优选值</x:v>
      </x:c>
      <x:c r="S19" s="167" t="n">
        <x:f>K19/K18-1</x:f>
        <x:v>0.05940219447597417</x:v>
      </x:c>
      <x:c r="T19" s="167" t="n">
        <x:f>M19/M18-1</x:f>
        <x:v>0.045248868778280604</x:v>
      </x:c>
      <x:c r="U19" s="92" t="str">
        <x:f>IF(OR(S19&lt;'异常检测'!$B$7,S19&gt;'异常检测'!$B$8),"保留-结构冲击","正常")</x:f>
        <x:v>正常</x:v>
      </x:c>
      <x:c r="V19" s="92" t="str">
        <x:f>IF(OR(T19&lt;'异常检测'!$E$7,T19&gt;'异常检测'!$E$8),"保留-结构冲击","正常")</x:f>
        <x:v>正常</x:v>
      </x:c>
      <x:c r="W19" s="92" t="n">
        <x:f>IF(AND(A19&gt;=2020,A19&lt;=2022),1,0)</x:f>
        <x:v>0</x:v>
      </x:c>
      <x:c r="X19" s="92" t="n">
        <x:f>IF(A19&gt;=2019,1,0)</x:f>
        <x:v>1</x:v>
      </x:c>
      <x:c r="Y19" s="170" t="n">
        <x:f>(K19-AVERAGE($K$4:$K$19))/STDEV.S($K$4:$K$19)</x:f>
        <x:v>1.3237447628681271</x:v>
      </x:c>
      <x:c r="Z19" s="170" t="n">
        <x:f>(M19-AVERAGE($M$4:$M$19))/STDEV.S($M$4:$M$19)</x:f>
        <x:v>1.8790977895730208</x:v>
      </x:c>
      <x:c r="AA19" s="170" t="n">
        <x:f>(O19-AVERAGE($O$4:$O$19))/STDEV.S($O$4:$O$19)</x:f>
        <x:v>-0.0006211318770010841</x:v>
      </x:c>
      <x:c r="AB19" s="170" t="n">
        <x:f>(Q19-AVERAGE($Q$4:$Q$19))/STDEV.S($Q$4:$Q$19)</x:f>
        <x:v>0.15737705591658357</x:v>
      </x:c>
      <x:c r="AC19" s="170" t="n">
        <x:f>LN(K19)</x:f>
        <x:v>7.937374696163295</x:v>
      </x:c>
      <x:c r="AD19" s="170" t="n">
        <x:f>LN(M19)</x:f>
        <x:v>5.442417710521793</x:v>
      </x:c>
    </x:row>
  </x:sheetData>
  <x:mergeCells>
    <x:mergeCell ref="A1:AD1"/>
    <x:mergeCell ref="A2:AD2"/>
  </x:mergeCells>
  <x:conditionalFormatting sqref="K4:Q19">
    <x:cfRule type="expression" dxfId="0" priority="1">
      <x:formula>AND(K4&lt;&gt;"",B4="")</x:formula>
    </x:cfRule>
  </x:conditionalFormatting>
  <x:conditionalFormatting sqref="U4:V19">
    <x:cfRule type="containsText" dxfId="1" priority="2" operator="containsText" text="结构冲击"/>
  </x:conditionalFormatting>
  <x:conditionalFormatting sqref="W4:X19">
    <x:cfRule type="cellIs" dxfId="2" priority="3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7c7d269b5d4e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20" hidden="0" customWidth="1"/>
    <x:col min="5" max="5" width="20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异常检测：在同比序列上使用IQR，不删除真实冲击</x:v>
      </x:c>
    </x:row>
    <x:row r="2" ht="42" customHeight="1">
      <x:c r="A2" s="150" t="str">
        <x:v>理由：原序列带长期趋势，在水平值上做Z-score会把高增长年份误判为异常；因此以同比变化做IQR检测。|Z|≥3仅作辅助。2020、2022、2023分别对应疫情冲击、再度收缩和恢复反弹，均保留。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</x:row>
    <x:row r="4">
      <x:c r="A4" s="171" t="str">
        <x:v>游客量同比Q1</x:v>
      </x:c>
      <x:c r="B4" s="177" t="n">
        <x:f>(SMALL('预处理结果'!S5:S19,4)+SMALL('预处理结果'!S5:S19,5))/2</x:f>
        <x:v>0.056016886711671265</x:v>
      </x:c>
      <x:c r="D4" s="174" t="str">
        <x:v>收入同比Q1</x:v>
      </x:c>
      <x:c r="E4" s="180" t="n">
        <x:f>(SMALL('预处理结果'!T5:T19,4)+SMALL('预处理结果'!T5:T19,5))/2</x:f>
        <x:v>0.11137123745819388</x:v>
      </x:c>
    </x:row>
    <x:row r="5">
      <x:c r="A5" s="172" t="str">
        <x:v>游客量同比Q3</x:v>
      </x:c>
      <x:c r="B5" s="178" t="n">
        <x:f>(SMALL('预处理结果'!S5:S19,11)+SMALL('预处理结果'!S5:S19,12))/2</x:f>
        <x:v>0.18516810801862937</x:v>
      </x:c>
      <x:c r="D5" s="175" t="str">
        <x:v>收入同比Q3</x:v>
      </x:c>
      <x:c r="E5" s="181" t="n">
        <x:f>(SMALL('预处理结果'!T5:T19,11)+SMALL('预处理结果'!T5:T19,12))/2</x:f>
        <x:v>0.23269230769230775</x:v>
      </x:c>
    </x:row>
    <x:row r="6">
      <x:c r="A6" s="172" t="str">
        <x:v>游客量同比IQR</x:v>
      </x:c>
      <x:c r="B6" s="178" t="n">
        <x:f>B5-B4</x:f>
        <x:v>0.1291512213069581</x:v>
      </x:c>
      <x:c r="D6" s="175" t="str">
        <x:v>收入同比IQR</x:v>
      </x:c>
      <x:c r="E6" s="181" t="n">
        <x:f>E5-E4</x:f>
        <x:v>0.12132107023411387</x:v>
      </x:c>
    </x:row>
    <x:row r="7">
      <x:c r="A7" s="172" t="str">
        <x:v>游客量下界</x:v>
      </x:c>
      <x:c r="B7" s="178" t="n">
        <x:f>B4-1.5*B6</x:f>
        <x:v>-0.1377099452487659</x:v>
      </x:c>
      <x:c r="D7" s="175" t="str">
        <x:v>收入下界</x:v>
      </x:c>
      <x:c r="E7" s="181" t="n">
        <x:f>E4-1.5*E6</x:f>
        <x:v>-0.07061036789297692</x:v>
      </x:c>
    </x:row>
    <x:row r="8">
      <x:c r="A8" s="173" t="str">
        <x:v>游客量上界</x:v>
      </x:c>
      <x:c r="B8" s="179" t="n">
        <x:f>B5+1.5*B6</x:f>
        <x:v>0.37889493997906654</x:v>
      </x:c>
      <x:c r="D8" s="176" t="str">
        <x:v>收入上界</x:v>
      </x:c>
      <x:c r="E8" s="182" t="n">
        <x:f>E5+1.5*E6</x:f>
        <x:v>0.41467391304347856</x:v>
      </x:c>
    </x:row>
    <x:row r="10">
      <x:c r="A10" s="87" t="str">
        <x:v>年份</x:v>
      </x:c>
      <x:c r="B10" s="88" t="str">
        <x:v>游客量同比</x:v>
      </x:c>
      <x:c r="C10" s="88" t="str">
        <x:v>综合收入同比</x:v>
      </x:c>
      <x:c r="D10" s="88" t="str">
        <x:v>游客判定</x:v>
      </x:c>
      <x:c r="E10" s="89" t="str">
        <x:v>收入判定</x:v>
      </x:c>
    </x:row>
    <x:row r="11">
      <x:c r="A11" s="90" t="n">
        <x:f>'预处理结果'!A4</x:f>
        <x:v>2010</x:v>
      </x:c>
      <x:c r="B11" s="166" t="str">
        <x:f>IF('预处理结果'!S4="","",'预处理结果'!S4)</x:f>
      </x:c>
      <x:c r="C11" s="166" t="str">
        <x:f>IF('预处理结果'!T4="","",'预处理结果'!T4)</x:f>
      </x:c>
      <x:c r="D11" s="90" t="str">
        <x:f>IF('预处理结果'!U4="","",'预处理结果'!U4)</x:f>
      </x:c>
      <x:c r="E11" s="90" t="str">
        <x:f>IF('预处理结果'!V4="","",'预处理结果'!V4)</x:f>
      </x:c>
    </x:row>
    <x:row r="12">
      <x:c r="A12" s="91" t="n">
        <x:f>'预处理结果'!A5</x:f>
        <x:v>2011</x:v>
      </x:c>
      <x:c r="B12" s="157" t="n">
        <x:f>IF('预处理结果'!S5="","",'预处理结果'!S5)</x:f>
        <x:v>0.2955188679245282</x:v>
      </x:c>
      <x:c r="C12" s="157" t="n">
        <x:f>IF('预处理结果'!T5="","",'预处理结果'!T5)</x:f>
        <x:v>0.2949999825456524</x:v>
      </x:c>
      <x:c r="D12" s="91" t="str">
        <x:f>IF('预处理结果'!U5="","",'预处理结果'!U5)</x:f>
        <x:v>正常</x:v>
      </x:c>
      <x:c r="E12" s="91" t="str">
        <x:f>IF('预处理结果'!V5="","",'预处理结果'!V5)</x:f>
        <x:v>正常</x:v>
      </x:c>
    </x:row>
    <x:row r="13">
      <x:c r="A13" s="91" t="n">
        <x:f>'预处理结果'!A6</x:f>
        <x:v>2012</x:v>
      </x:c>
      <x:c r="B13" s="157" t="n">
        <x:f>IF('预处理结果'!S6="","",'预处理结果'!S6)</x:f>
        <x:v>0.04860731840524313</x:v>
      </x:c>
      <x:c r="C13" s="157" t="n">
        <x:f>IF('预处理结果'!T6="","",'预处理结果'!T6)</x:f>
        <x:v>0.13043478260869557</x:v>
      </x:c>
      <x:c r="D13" s="91" t="str">
        <x:f>IF('预处理结果'!U6="","",'预处理结果'!U6)</x:f>
        <x:v>正常</x:v>
      </x:c>
      <x:c r="E13" s="91" t="str">
        <x:f>IF('预处理结果'!V6="","",'预处理结果'!V6)</x:f>
        <x:v>正常</x:v>
      </x:c>
    </x:row>
    <x:row r="14">
      <x:c r="A14" s="91" t="n">
        <x:f>'预处理结果'!A7</x:f>
        <x:v>2013</x:v>
      </x:c>
      <x:c r="B14" s="157" t="n">
        <x:f>IF('预处理结果'!S7="","",'预处理结果'!S7)</x:f>
        <x:v>0.12413194444444442</x:v>
      </x:c>
      <x:c r="C14" s="157" t="n">
        <x:f>IF('预处理结果'!T7="","",'预处理结果'!T7)</x:f>
        <x:v>0.2153846153846155</x:v>
      </x:c>
      <x:c r="D14" s="91" t="str">
        <x:f>IF('预处理结果'!U7="","",'预处理结果'!U7)</x:f>
        <x:v>正常</x:v>
      </x:c>
      <x:c r="E14" s="91" t="str">
        <x:f>IF('预处理结果'!V7="","",'预处理结果'!V7)</x:f>
        <x:v>正常</x:v>
      </x:c>
    </x:row>
    <x:row r="15">
      <x:c r="A15" s="91" t="n">
        <x:f>'预处理结果'!A8</x:f>
        <x:v>2014</x:v>
      </x:c>
      <x:c r="B15" s="157" t="n">
        <x:f>IF('预处理结果'!S8="","",'预处理结果'!S8)</x:f>
        <x:v>0.19953667953667953</x:v>
      </x:c>
      <x:c r="C15" s="157" t="n">
        <x:f>IF('预处理结果'!T8="","",'预处理结果'!T8)</x:f>
        <x:v>0.25</x:v>
      </x:c>
      <x:c r="D15" s="91" t="str">
        <x:f>IF('预处理结果'!U8="","",'预处理结果'!U8)</x:f>
        <x:v>正常</x:v>
      </x:c>
      <x:c r="E15" s="91" t="str">
        <x:f>IF('预处理结果'!V8="","",'预处理结果'!V8)</x:f>
        <x:v>正常</x:v>
      </x:c>
    </x:row>
    <x:row r="16">
      <x:c r="A16" s="91" t="n">
        <x:f>'预处理结果'!A9</x:f>
        <x:v>2015</x:v>
      </x:c>
      <x:c r="B16" s="157" t="n">
        <x:f>IF('预处理结果'!S9="","",'预处理结果'!S9)</x:f>
        <x:v>0.17079953650057922</x:v>
      </x:c>
      <x:c r="C16" s="157" t="n">
        <x:f>IF('预处理结果'!T9="","",'预处理结果'!T9)</x:f>
        <x:v>0.1898734177215189</x:v>
      </x:c>
      <x:c r="D16" s="91" t="str">
        <x:f>IF('预处理结果'!U9="","",'预处理结果'!U9)</x:f>
        <x:v>正常</x:v>
      </x:c>
      <x:c r="E16" s="91" t="str">
        <x:f>IF('预处理结果'!V9="","",'预处理结果'!V9)</x:f>
        <x:v>正常</x:v>
      </x:c>
    </x:row>
    <x:row r="17">
      <x:c r="A17" s="91" t="n">
        <x:f>'预处理结果'!A10</x:f>
        <x:v>2016</x:v>
      </x:c>
      <x:c r="B17" s="157" t="n">
        <x:f>IF('预处理结果'!S10="","",'预处理结果'!S10)</x:f>
        <x:v>0.14696049969209102</x:v>
      </x:c>
      <x:c r="C17" s="157" t="n">
        <x:f>IF('预处理结果'!T10="","",'预处理结果'!T10)</x:f>
        <x:v>0.16580851063829805</x:v>
      </x:c>
      <x:c r="D17" s="91" t="str">
        <x:f>IF('预处理结果'!U10="","",'预处理结果'!U10)</x:f>
        <x:v>正常</x:v>
      </x:c>
      <x:c r="E17" s="91" t="str">
        <x:f>IF('预处理结果'!V10="","",'预处理结果'!V10)</x:f>
        <x:v>正常</x:v>
      </x:c>
    </x:row>
    <x:row r="18">
      <x:c r="A18" s="91" t="n">
        <x:f>'预处理结果'!A11</x:f>
        <x:v>2017</x:v>
      </x:c>
      <x:c r="B18" s="157" t="n">
        <x:f>IF('预处理结果'!S11="","",'预处理结果'!S11)</x:f>
        <x:v>0.14669223394055608</x:v>
      </x:c>
      <x:c r="C18" s="157" t="n">
        <x:f>IF('预处理结果'!T11="","",'预处理结果'!T11)</x:f>
        <x:v>0.18628291935101182</x:v>
      </x:c>
      <x:c r="D18" s="91" t="str">
        <x:f>IF('预处理结果'!U11="","",'预处理结果'!U11)</x:f>
        <x:v>正常</x:v>
      </x:c>
      <x:c r="E18" s="91" t="str">
        <x:f>IF('预处理结果'!V11="","",'预处理结果'!V11)</x:f>
        <x:v>正常</x:v>
      </x:c>
    </x:row>
    <x:row r="19">
      <x:c r="A19" s="91" t="n">
        <x:f>'预处理结果'!A12</x:f>
        <x:v>2018</x:v>
      </x:c>
      <x:c r="B19" s="157" t="n">
        <x:f>IF('预处理结果'!S12="","",'预处理结果'!S12)</x:f>
        <x:v>0.11204013377926425</x:v>
      </x:c>
      <x:c r="C19" s="157" t="n">
        <x:f>IF('预处理结果'!T12="","",'预处理结果'!T12)</x:f>
        <x:v>0.0923076923076922</x:v>
      </x:c>
      <x:c r="D19" s="91" t="str">
        <x:f>IF('预处理结果'!U12="","",'预处理结果'!U12)</x:f>
        <x:v>正常</x:v>
      </x:c>
      <x:c r="E19" s="91" t="str">
        <x:f>IF('预处理结果'!V12="","",'预处理结果'!V12)</x:f>
        <x:v>正常</x:v>
      </x:c>
    </x:row>
    <x:row r="20">
      <x:c r="A20" s="91" t="n">
        <x:f>'预处理结果'!A13</x:f>
        <x:v>2019</x:v>
      </x:c>
      <x:c r="B20" s="157" t="n">
        <x:f>IF('预处理结果'!S13="","",'预处理结果'!S13)</x:f>
        <x:v>0.05263157894736836</x:v>
      </x:c>
      <x:c r="C20" s="157" t="n">
        <x:f>IF('预处理结果'!T13="","",'预处理结果'!T13)</x:f>
        <x:v>0.1619718309859155</x:v>
      </x:c>
      <x:c r="D20" s="91" t="str">
        <x:f>IF('预处理结果'!U13="","",'预处理结果'!U13)</x:f>
        <x:v>正常</x:v>
      </x:c>
      <x:c r="E20" s="91" t="str">
        <x:f>IF('预处理结果'!V13="","",'预处理结果'!V13)</x:f>
        <x:v>正常</x:v>
      </x:c>
    </x:row>
    <x:row r="21">
      <x:c r="A21" s="91" t="n">
        <x:f>'预处理结果'!A14</x:f>
        <x:v>2020</x:v>
      </x:c>
      <x:c r="B21" s="157" t="n">
        <x:f>IF('预处理结果'!S14="","",'预处理结果'!S14)</x:f>
        <x:v>-0.44999999999999996</x:v>
      </x:c>
      <x:c r="C21" s="157" t="n">
        <x:f>IF('预处理结果'!T14="","",'预处理结果'!T14)</x:f>
        <x:v>-0.5049999999999999</x:v>
      </x:c>
      <x:c r="D21" s="91" t="str">
        <x:f>IF('预处理结果'!U14="","",'预处理结果'!U14)</x:f>
        <x:v>保留-结构冲击</x:v>
      </x:c>
      <x:c r="E21" s="91" t="str">
        <x:f>IF('预处理结果'!V14="","",'预处理结果'!V14)</x:f>
        <x:v>保留-结构冲击</x:v>
      </x:c>
    </x:row>
    <x:row r="22">
      <x:c r="A22" s="91" t="n">
        <x:f>'预处理结果'!A15</x:f>
        <x:v>2021</x:v>
      </x:c>
      <x:c r="B22" s="157" t="n">
        <x:f>IF('预处理结果'!S15="","",'预处理结果'!S15)</x:f>
        <x:v>0.2914669223394053</x:v>
      </x:c>
      <x:c r="C22" s="157" t="n">
        <x:f>IF('预处理结果'!T15="","",'预处理结果'!T15)</x:f>
        <x:v>0.34680134680134667</x:v>
      </x:c>
      <x:c r="D22" s="91" t="str">
        <x:f>IF('预处理结果'!U15="","",'预处理结果'!U15)</x:f>
        <x:v>正常</x:v>
      </x:c>
      <x:c r="E22" s="91" t="str">
        <x:f>IF('预处理结果'!V15="","",'预处理结果'!V15)</x:f>
        <x:v>正常</x:v>
      </x:c>
    </x:row>
    <x:row r="23">
      <x:c r="A23" s="91" t="n">
        <x:f>'预处理结果'!A16</x:f>
        <x:v>2022</x:v>
      </x:c>
      <x:c r="B23" s="157" t="n">
        <x:f>IF('预处理结果'!S16="","",'预处理结果'!S16)</x:f>
        <x:v>-0.6454545454545455</x:v>
      </x:c>
      <x:c r="C23" s="157" t="n">
        <x:f>IF('预处理结果'!T16="","",'预处理结果'!T16)</x:f>
        <x:v>-0.6454545454545455</x:v>
      </x:c>
      <x:c r="D23" s="91" t="str">
        <x:f>IF('预处理结果'!U16="","",'预处理结果'!U16)</x:f>
        <x:v>保留-结构冲击</x:v>
      </x:c>
      <x:c r="E23" s="91" t="str">
        <x:f>IF('预处理结果'!V16="","",'预处理结果'!V16)</x:f>
        <x:v>保留-结构冲击</x:v>
      </x:c>
    </x:row>
    <x:row r="24">
      <x:c r="A24" s="91" t="n">
        <x:f>'预处理结果'!A17</x:f>
        <x:v>2023</x:v>
      </x:c>
      <x:c r="B24" s="157" t="n">
        <x:f>IF('预处理结果'!S17="","",'预处理结果'!S17)</x:f>
        <x:v>2.3511031161365237</x:v>
      </x:c>
      <x:c r="C24" s="157" t="n">
        <x:f>IF('预处理结果'!T17="","",'预处理结果'!T17)</x:f>
        <x:v>3.9102564102564106</x:v>
      </x:c>
      <x:c r="D24" s="91" t="str">
        <x:f>IF('预处理结果'!U17="","",'预处理结果'!U17)</x:f>
        <x:v>保留-结构冲击</x:v>
      </x:c>
      <x:c r="E24" s="91" t="str">
        <x:f>IF('预处理结果'!V17="","",'预处理结果'!V17)</x:f>
        <x:v>保留-结构冲击</x:v>
      </x:c>
    </x:row>
    <x:row r="25">
      <x:c r="A25" s="91" t="n">
        <x:f>'预处理结果'!A18</x:f>
        <x:v>2024</x:v>
      </x:c>
      <x:c r="B25" s="157" t="n">
        <x:f>IF('预处理结果'!S18="","",'预处理结果'!S18)</x:f>
        <x:v>0.1184934405416842</x:v>
      </x:c>
      <x:c r="C25" s="157" t="n">
        <x:f>IF('预处理结果'!T18="","",'预处理结果'!T18)</x:f>
        <x:v>0.15404699738903394</x:v>
      </x:c>
      <x:c r="D25" s="91" t="str">
        <x:f>IF('预处理结果'!U18="","",'预处理结果'!U18)</x:f>
        <x:v>正常</x:v>
      </x:c>
      <x:c r="E25" s="91" t="str">
        <x:f>IF('预处理结果'!V18="","",'预处理结果'!V18)</x:f>
        <x:v>正常</x:v>
      </x:c>
    </x:row>
    <x:row r="26">
      <x:c r="A26" s="92" t="n">
        <x:f>'预处理结果'!A19</x:f>
        <x:v>2025</x:v>
      </x:c>
      <x:c r="B26" s="167" t="n">
        <x:f>IF('预处理结果'!S19="","",'预处理结果'!S19)</x:f>
        <x:v>0.05940219447597417</x:v>
      </x:c>
      <x:c r="C26" s="167" t="n">
        <x:f>IF('预处理结果'!T19="","",'预处理结果'!T19)</x:f>
        <x:v>0.045248868778280604</x:v>
      </x:c>
      <x:c r="D26" s="92" t="str">
        <x:f>IF('预处理结果'!U19="","",'预处理结果'!U19)</x:f>
        <x:v>正常</x:v>
      </x:c>
      <x:c r="E26" s="92" t="str">
        <x:f>IF('预处理结果'!V19="","",'预处理结果'!V19)</x:f>
        <x:v>正常</x:v>
      </x:c>
    </x:row>
    <x:row r="30">
      <x:c r="A30" s="87" t="str">
        <x:v>年份</x:v>
      </x:c>
      <x:c r="B30" s="88" t="str">
        <x:v>游客量同比</x:v>
      </x:c>
      <x:c r="C30" s="88" t="str">
        <x:v>IQR下界</x:v>
      </x:c>
      <x:c r="D30" s="89" t="str">
        <x:v>IQR上界</x:v>
      </x:c>
      <x:c r="F30" s="87" t="str">
        <x:v>年份</x:v>
      </x:c>
      <x:c r="G30" s="88" t="str">
        <x:v>综合收入同比</x:v>
      </x:c>
      <x:c r="H30" s="88" t="str">
        <x:v>IQR下界</x:v>
      </x:c>
      <x:c r="I30" s="89" t="str">
        <x:v>IQR上界</x:v>
      </x:c>
    </x:row>
    <x:row r="31">
      <x:c r="A31" s="90" t="n">
        <x:f>A11</x:f>
        <x:v>2010</x:v>
      </x:c>
      <x:c r="B31" s="166" t="str">
        <x:f>B11</x:f>
      </x:c>
      <x:c r="C31" s="166" t="n">
        <x:f>$B$7</x:f>
        <x:v>-0.1377099452487659</x:v>
      </x:c>
      <x:c r="D31" s="166" t="n">
        <x:f>$B$8</x:f>
        <x:v>0.37889493997906654</x:v>
      </x:c>
      <x:c r="F31" s="90" t="n">
        <x:f>A11</x:f>
        <x:v>2010</x:v>
      </x:c>
      <x:c r="G31" s="166" t="str">
        <x:f>C11</x:f>
      </x:c>
      <x:c r="H31" s="166" t="n">
        <x:f>$E$7</x:f>
        <x:v>-0.07061036789297692</x:v>
      </x:c>
      <x:c r="I31" s="166" t="n">
        <x:f>$E$8</x:f>
        <x:v>0.41467391304347856</x:v>
      </x:c>
    </x:row>
    <x:row r="32">
      <x:c r="A32" s="91" t="n">
        <x:f>A12</x:f>
        <x:v>2011</x:v>
      </x:c>
      <x:c r="B32" s="157" t="n">
        <x:f>B12</x:f>
        <x:v>0.2955188679245282</x:v>
      </x:c>
      <x:c r="C32" s="157" t="n">
        <x:f>$B$7</x:f>
        <x:v>-0.1377099452487659</x:v>
      </x:c>
      <x:c r="D32" s="157" t="n">
        <x:f>$B$8</x:f>
        <x:v>0.37889493997906654</x:v>
      </x:c>
      <x:c r="F32" s="91" t="n">
        <x:f>A12</x:f>
        <x:v>2011</x:v>
      </x:c>
      <x:c r="G32" s="157" t="n">
        <x:f>C12</x:f>
        <x:v>0.2949999825456524</x:v>
      </x:c>
      <x:c r="H32" s="157" t="n">
        <x:f>$E$7</x:f>
        <x:v>-0.07061036789297692</x:v>
      </x:c>
      <x:c r="I32" s="157" t="n">
        <x:f>$E$8</x:f>
        <x:v>0.41467391304347856</x:v>
      </x:c>
    </x:row>
    <x:row r="33">
      <x:c r="A33" s="91" t="n">
        <x:f>A13</x:f>
        <x:v>2012</x:v>
      </x:c>
      <x:c r="B33" s="157" t="n">
        <x:f>B13</x:f>
        <x:v>0.04860731840524313</x:v>
      </x:c>
      <x:c r="C33" s="157" t="n">
        <x:f>$B$7</x:f>
        <x:v>-0.1377099452487659</x:v>
      </x:c>
      <x:c r="D33" s="157" t="n">
        <x:f>$B$8</x:f>
        <x:v>0.37889493997906654</x:v>
      </x:c>
      <x:c r="F33" s="91" t="n">
        <x:f>A13</x:f>
        <x:v>2012</x:v>
      </x:c>
      <x:c r="G33" s="157" t="n">
        <x:f>C13</x:f>
        <x:v>0.13043478260869557</x:v>
      </x:c>
      <x:c r="H33" s="157" t="n">
        <x:f>$E$7</x:f>
        <x:v>-0.07061036789297692</x:v>
      </x:c>
      <x:c r="I33" s="157" t="n">
        <x:f>$E$8</x:f>
        <x:v>0.41467391304347856</x:v>
      </x:c>
    </x:row>
    <x:row r="34">
      <x:c r="A34" s="91" t="n">
        <x:f>A14</x:f>
        <x:v>2013</x:v>
      </x:c>
      <x:c r="B34" s="157" t="n">
        <x:f>B14</x:f>
        <x:v>0.12413194444444442</x:v>
      </x:c>
      <x:c r="C34" s="157" t="n">
        <x:f>$B$7</x:f>
        <x:v>-0.1377099452487659</x:v>
      </x:c>
      <x:c r="D34" s="157" t="n">
        <x:f>$B$8</x:f>
        <x:v>0.37889493997906654</x:v>
      </x:c>
      <x:c r="F34" s="91" t="n">
        <x:f>A14</x:f>
        <x:v>2013</x:v>
      </x:c>
      <x:c r="G34" s="157" t="n">
        <x:f>C14</x:f>
        <x:v>0.2153846153846155</x:v>
      </x:c>
      <x:c r="H34" s="157" t="n">
        <x:f>$E$7</x:f>
        <x:v>-0.07061036789297692</x:v>
      </x:c>
      <x:c r="I34" s="157" t="n">
        <x:f>$E$8</x:f>
        <x:v>0.41467391304347856</x:v>
      </x:c>
    </x:row>
    <x:row r="35">
      <x:c r="A35" s="91" t="n">
        <x:f>A15</x:f>
        <x:v>2014</x:v>
      </x:c>
      <x:c r="B35" s="157" t="n">
        <x:f>B15</x:f>
        <x:v>0.19953667953667953</x:v>
      </x:c>
      <x:c r="C35" s="157" t="n">
        <x:f>$B$7</x:f>
        <x:v>-0.1377099452487659</x:v>
      </x:c>
      <x:c r="D35" s="157" t="n">
        <x:f>$B$8</x:f>
        <x:v>0.37889493997906654</x:v>
      </x:c>
      <x:c r="F35" s="91" t="n">
        <x:f>A15</x:f>
        <x:v>2014</x:v>
      </x:c>
      <x:c r="G35" s="157" t="n">
        <x:f>C15</x:f>
        <x:v>0.25</x:v>
      </x:c>
      <x:c r="H35" s="157" t="n">
        <x:f>$E$7</x:f>
        <x:v>-0.07061036789297692</x:v>
      </x:c>
      <x:c r="I35" s="157" t="n">
        <x:f>$E$8</x:f>
        <x:v>0.41467391304347856</x:v>
      </x:c>
    </x:row>
    <x:row r="36">
      <x:c r="A36" s="91" t="n">
        <x:f>A16</x:f>
        <x:v>2015</x:v>
      </x:c>
      <x:c r="B36" s="157" t="n">
        <x:f>B16</x:f>
        <x:v>0.17079953650057922</x:v>
      </x:c>
      <x:c r="C36" s="157" t="n">
        <x:f>$B$7</x:f>
        <x:v>-0.1377099452487659</x:v>
      </x:c>
      <x:c r="D36" s="157" t="n">
        <x:f>$B$8</x:f>
        <x:v>0.37889493997906654</x:v>
      </x:c>
      <x:c r="F36" s="91" t="n">
        <x:f>A16</x:f>
        <x:v>2015</x:v>
      </x:c>
      <x:c r="G36" s="157" t="n">
        <x:f>C16</x:f>
        <x:v>0.1898734177215189</x:v>
      </x:c>
      <x:c r="H36" s="157" t="n">
        <x:f>$E$7</x:f>
        <x:v>-0.07061036789297692</x:v>
      </x:c>
      <x:c r="I36" s="157" t="n">
        <x:f>$E$8</x:f>
        <x:v>0.41467391304347856</x:v>
      </x:c>
    </x:row>
    <x:row r="37">
      <x:c r="A37" s="91" t="n">
        <x:f>A17</x:f>
        <x:v>2016</x:v>
      </x:c>
      <x:c r="B37" s="157" t="n">
        <x:f>B17</x:f>
        <x:v>0.14696049969209102</x:v>
      </x:c>
      <x:c r="C37" s="157" t="n">
        <x:f>$B$7</x:f>
        <x:v>-0.1377099452487659</x:v>
      </x:c>
      <x:c r="D37" s="157" t="n">
        <x:f>$B$8</x:f>
        <x:v>0.37889493997906654</x:v>
      </x:c>
      <x:c r="F37" s="91" t="n">
        <x:f>A17</x:f>
        <x:v>2016</x:v>
      </x:c>
      <x:c r="G37" s="157" t="n">
        <x:f>C17</x:f>
        <x:v>0.16580851063829805</x:v>
      </x:c>
      <x:c r="H37" s="157" t="n">
        <x:f>$E$7</x:f>
        <x:v>-0.07061036789297692</x:v>
      </x:c>
      <x:c r="I37" s="157" t="n">
        <x:f>$E$8</x:f>
        <x:v>0.41467391304347856</x:v>
      </x:c>
    </x:row>
    <x:row r="38">
      <x:c r="A38" s="91" t="n">
        <x:f>A18</x:f>
        <x:v>2017</x:v>
      </x:c>
      <x:c r="B38" s="157" t="n">
        <x:f>B18</x:f>
        <x:v>0.14669223394055608</x:v>
      </x:c>
      <x:c r="C38" s="157" t="n">
        <x:f>$B$7</x:f>
        <x:v>-0.1377099452487659</x:v>
      </x:c>
      <x:c r="D38" s="157" t="n">
        <x:f>$B$8</x:f>
        <x:v>0.37889493997906654</x:v>
      </x:c>
      <x:c r="F38" s="91" t="n">
        <x:f>A18</x:f>
        <x:v>2017</x:v>
      </x:c>
      <x:c r="G38" s="157" t="n">
        <x:f>C18</x:f>
        <x:v>0.18628291935101182</x:v>
      </x:c>
      <x:c r="H38" s="157" t="n">
        <x:f>$E$7</x:f>
        <x:v>-0.07061036789297692</x:v>
      </x:c>
      <x:c r="I38" s="157" t="n">
        <x:f>$E$8</x:f>
        <x:v>0.41467391304347856</x:v>
      </x:c>
    </x:row>
    <x:row r="39">
      <x:c r="A39" s="91" t="n">
        <x:f>A19</x:f>
        <x:v>2018</x:v>
      </x:c>
      <x:c r="B39" s="157" t="n">
        <x:f>B19</x:f>
        <x:v>0.11204013377926425</x:v>
      </x:c>
      <x:c r="C39" s="157" t="n">
        <x:f>$B$7</x:f>
        <x:v>-0.1377099452487659</x:v>
      </x:c>
      <x:c r="D39" s="157" t="n">
        <x:f>$B$8</x:f>
        <x:v>0.37889493997906654</x:v>
      </x:c>
      <x:c r="F39" s="91" t="n">
        <x:f>A19</x:f>
        <x:v>2018</x:v>
      </x:c>
      <x:c r="G39" s="157" t="n">
        <x:f>C19</x:f>
        <x:v>0.0923076923076922</x:v>
      </x:c>
      <x:c r="H39" s="157" t="n">
        <x:f>$E$7</x:f>
        <x:v>-0.07061036789297692</x:v>
      </x:c>
      <x:c r="I39" s="157" t="n">
        <x:f>$E$8</x:f>
        <x:v>0.41467391304347856</x:v>
      </x:c>
    </x:row>
    <x:row r="40">
      <x:c r="A40" s="91" t="n">
        <x:f>A20</x:f>
        <x:v>2019</x:v>
      </x:c>
      <x:c r="B40" s="157" t="n">
        <x:f>B20</x:f>
        <x:v>0.05263157894736836</x:v>
      </x:c>
      <x:c r="C40" s="157" t="n">
        <x:f>$B$7</x:f>
        <x:v>-0.1377099452487659</x:v>
      </x:c>
      <x:c r="D40" s="157" t="n">
        <x:f>$B$8</x:f>
        <x:v>0.37889493997906654</x:v>
      </x:c>
      <x:c r="F40" s="91" t="n">
        <x:f>A20</x:f>
        <x:v>2019</x:v>
      </x:c>
      <x:c r="G40" s="157" t="n">
        <x:f>C20</x:f>
        <x:v>0.1619718309859155</x:v>
      </x:c>
      <x:c r="H40" s="157" t="n">
        <x:f>$E$7</x:f>
        <x:v>-0.07061036789297692</x:v>
      </x:c>
      <x:c r="I40" s="157" t="n">
        <x:f>$E$8</x:f>
        <x:v>0.41467391304347856</x:v>
      </x:c>
    </x:row>
    <x:row r="41">
      <x:c r="A41" s="91" t="n">
        <x:f>A21</x:f>
        <x:v>2020</x:v>
      </x:c>
      <x:c r="B41" s="157" t="n">
        <x:f>B21</x:f>
        <x:v>-0.44999999999999996</x:v>
      </x:c>
      <x:c r="C41" s="157" t="n">
        <x:f>$B$7</x:f>
        <x:v>-0.1377099452487659</x:v>
      </x:c>
      <x:c r="D41" s="157" t="n">
        <x:f>$B$8</x:f>
        <x:v>0.37889493997906654</x:v>
      </x:c>
      <x:c r="F41" s="91" t="n">
        <x:f>A21</x:f>
        <x:v>2020</x:v>
      </x:c>
      <x:c r="G41" s="157" t="n">
        <x:f>C21</x:f>
        <x:v>-0.5049999999999999</x:v>
      </x:c>
      <x:c r="H41" s="157" t="n">
        <x:f>$E$7</x:f>
        <x:v>-0.07061036789297692</x:v>
      </x:c>
      <x:c r="I41" s="157" t="n">
        <x:f>$E$8</x:f>
        <x:v>0.41467391304347856</x:v>
      </x:c>
    </x:row>
    <x:row r="42">
      <x:c r="A42" s="91" t="n">
        <x:f>A22</x:f>
        <x:v>2021</x:v>
      </x:c>
      <x:c r="B42" s="157" t="n">
        <x:f>B22</x:f>
        <x:v>0.2914669223394053</x:v>
      </x:c>
      <x:c r="C42" s="157" t="n">
        <x:f>$B$7</x:f>
        <x:v>-0.1377099452487659</x:v>
      </x:c>
      <x:c r="D42" s="157" t="n">
        <x:f>$B$8</x:f>
        <x:v>0.37889493997906654</x:v>
      </x:c>
      <x:c r="F42" s="91" t="n">
        <x:f>A22</x:f>
        <x:v>2021</x:v>
      </x:c>
      <x:c r="G42" s="157" t="n">
        <x:f>C22</x:f>
        <x:v>0.34680134680134667</x:v>
      </x:c>
      <x:c r="H42" s="157" t="n">
        <x:f>$E$7</x:f>
        <x:v>-0.07061036789297692</x:v>
      </x:c>
      <x:c r="I42" s="157" t="n">
        <x:f>$E$8</x:f>
        <x:v>0.41467391304347856</x:v>
      </x:c>
    </x:row>
    <x:row r="43">
      <x:c r="A43" s="91" t="n">
        <x:f>A23</x:f>
        <x:v>2022</x:v>
      </x:c>
      <x:c r="B43" s="157" t="n">
        <x:f>B23</x:f>
        <x:v>-0.6454545454545455</x:v>
      </x:c>
      <x:c r="C43" s="157" t="n">
        <x:f>$B$7</x:f>
        <x:v>-0.1377099452487659</x:v>
      </x:c>
      <x:c r="D43" s="157" t="n">
        <x:f>$B$8</x:f>
        <x:v>0.37889493997906654</x:v>
      </x:c>
      <x:c r="F43" s="91" t="n">
        <x:f>A23</x:f>
        <x:v>2022</x:v>
      </x:c>
      <x:c r="G43" s="157" t="n">
        <x:f>C23</x:f>
        <x:v>-0.6454545454545455</x:v>
      </x:c>
      <x:c r="H43" s="157" t="n">
        <x:f>$E$7</x:f>
        <x:v>-0.07061036789297692</x:v>
      </x:c>
      <x:c r="I43" s="157" t="n">
        <x:f>$E$8</x:f>
        <x:v>0.41467391304347856</x:v>
      </x:c>
    </x:row>
    <x:row r="44">
      <x:c r="A44" s="91" t="n">
        <x:f>A24</x:f>
        <x:v>2023</x:v>
      </x:c>
      <x:c r="B44" s="157" t="n">
        <x:f>B24</x:f>
        <x:v>2.3511031161365237</x:v>
      </x:c>
      <x:c r="C44" s="157" t="n">
        <x:f>$B$7</x:f>
        <x:v>-0.1377099452487659</x:v>
      </x:c>
      <x:c r="D44" s="157" t="n">
        <x:f>$B$8</x:f>
        <x:v>0.37889493997906654</x:v>
      </x:c>
      <x:c r="F44" s="91" t="n">
        <x:f>A24</x:f>
        <x:v>2023</x:v>
      </x:c>
      <x:c r="G44" s="157" t="n">
        <x:f>C24</x:f>
        <x:v>3.9102564102564106</x:v>
      </x:c>
      <x:c r="H44" s="157" t="n">
        <x:f>$E$7</x:f>
        <x:v>-0.07061036789297692</x:v>
      </x:c>
      <x:c r="I44" s="157" t="n">
        <x:f>$E$8</x:f>
        <x:v>0.41467391304347856</x:v>
      </x:c>
    </x:row>
    <x:row r="45">
      <x:c r="A45" s="91" t="n">
        <x:f>A25</x:f>
        <x:v>2024</x:v>
      </x:c>
      <x:c r="B45" s="157" t="n">
        <x:f>B25</x:f>
        <x:v>0.1184934405416842</x:v>
      </x:c>
      <x:c r="C45" s="157" t="n">
        <x:f>$B$7</x:f>
        <x:v>-0.1377099452487659</x:v>
      </x:c>
      <x:c r="D45" s="157" t="n">
        <x:f>$B$8</x:f>
        <x:v>0.37889493997906654</x:v>
      </x:c>
      <x:c r="F45" s="91" t="n">
        <x:f>A25</x:f>
        <x:v>2024</x:v>
      </x:c>
      <x:c r="G45" s="157" t="n">
        <x:f>C25</x:f>
        <x:v>0.15404699738903394</x:v>
      </x:c>
      <x:c r="H45" s="157" t="n">
        <x:f>$E$7</x:f>
        <x:v>-0.07061036789297692</x:v>
      </x:c>
      <x:c r="I45" s="157" t="n">
        <x:f>$E$8</x:f>
        <x:v>0.41467391304347856</x:v>
      </x:c>
    </x:row>
    <x:row r="46">
      <x:c r="A46" s="92" t="n">
        <x:f>A26</x:f>
        <x:v>2025</x:v>
      </x:c>
      <x:c r="B46" s="167" t="n">
        <x:f>B26</x:f>
        <x:v>0.05940219447597417</x:v>
      </x:c>
      <x:c r="C46" s="167" t="n">
        <x:f>$B$7</x:f>
        <x:v>-0.1377099452487659</x:v>
      </x:c>
      <x:c r="D46" s="167" t="n">
        <x:f>$B$8</x:f>
        <x:v>0.37889493997906654</x:v>
      </x:c>
      <x:c r="F46" s="92" t="n">
        <x:f>A26</x:f>
        <x:v>2025</x:v>
      </x:c>
      <x:c r="G46" s="167" t="n">
        <x:f>C26</x:f>
        <x:v>0.045248868778280604</x:v>
      </x:c>
      <x:c r="H46" s="167" t="n">
        <x:f>$E$7</x:f>
        <x:v>-0.07061036789297692</x:v>
      </x:c>
      <x:c r="I46" s="167" t="n">
        <x:f>$E$8</x:f>
        <x:v>0.41467391304347856</x:v>
      </x:c>
    </x:row>
  </x:sheetData>
  <x:mergeCells>
    <x:mergeCell ref="A1:N1"/>
    <x:mergeCell ref="A2:N2"/>
  </x:mergeCells>
  <x:conditionalFormatting sqref="D11:E26">
    <x:cfRule type="containsText" dxfId="3" priority="1" operator="containsText" text="结构冲击"/>
  </x:conditionalFormatting>
  <x:pageMargins left="0.7" right="0.7" top="0.75" bottom="0.75" header="0.3" footer="0.3"/>
  <x:drawing xmlns:r="http://schemas.openxmlformats.org/officeDocument/2006/relationships" r:id="R5adf77447bd64636"/>
  <x:tableParts count="1">
    <x:tablePart xmlns:r="http://schemas.openxmlformats.org/officeDocument/2006/relationships" r:id="Rfcd85f6dfd7e49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原始序列与清洗序列对照</x:v>
      </x:c>
    </x:row>
    <x:row r="2" ht="34" customHeight="1">
      <x:c r="A2" s="150" t="str">
        <x:v>图中原始序列保留缺口；清洗序列使用补充假设补全。2020—2022的变化不做平滑删除，正式模型必须加入疫情/恢复状态。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</x:row>
    <x:row r="4">
      <x:c r="A4" s="87" t="str">
        <x:v>年份</x:v>
      </x:c>
      <x:c r="B4" s="88" t="str">
        <x:v>游客原始</x:v>
      </x:c>
      <x:c r="C4" s="88" t="str">
        <x:v>游客清洗</x:v>
      </x:c>
      <x:c r="D4" s="88" t="str">
        <x:v>收入原始</x:v>
      </x:c>
      <x:c r="E4" s="89" t="str">
        <x:v>收入清洗</x:v>
      </x:c>
    </x:row>
    <x:row r="5">
      <x:c r="A5" s="90" t="n">
        <x:f>'预处理结果'!A4</x:f>
        <x:v>2010</x:v>
      </x:c>
      <x:c r="B5" s="152" t="n">
        <x:f>IF('预处理结果'!B4="","",'预处理结果'!B4)</x:f>
        <x:v>848</x:v>
      </x:c>
      <x:c r="C5" s="152" t="n">
        <x:f>'预处理结果'!K4</x:f>
        <x:v>848</x:v>
      </x:c>
      <x:c r="D5" s="152" t="n">
        <x:f>IF('预处理结果'!D4="","",'预处理结果'!D4)</x:f>
        <x:v>35.521236</x:v>
      </x:c>
      <x:c r="E5" s="152" t="n">
        <x:f>'预处理结果'!M4</x:f>
        <x:v>35.521236</x:v>
      </x:c>
    </x:row>
    <x:row r="6">
      <x:c r="A6" s="91" t="n">
        <x:f>'预处理结果'!A5</x:f>
        <x:v>2011</x:v>
      </x:c>
      <x:c r="B6" s="153" t="n">
        <x:f>IF('预处理结果'!B5="","",'预处理结果'!B5)</x:f>
        <x:v>1098.6</x:v>
      </x:c>
      <x:c r="C6" s="153" t="n">
        <x:f>'预处理结果'!K5</x:f>
        <x:v>1098.6</x:v>
      </x:c>
      <x:c r="D6" s="153" t="n">
        <x:f>IF('预处理结果'!D5="","",'预处理结果'!D5)</x:f>
        <x:v>46</x:v>
      </x:c>
      <x:c r="E6" s="153" t="n">
        <x:f>'预处理结果'!M5</x:f>
        <x:v>46</x:v>
      </x:c>
    </x:row>
    <x:row r="7">
      <x:c r="A7" s="91" t="n">
        <x:f>'预处理结果'!A6</x:f>
        <x:v>2012</x:v>
      </x:c>
      <x:c r="B7" s="153" t="n">
        <x:f>IF('预处理结果'!B6="","",'预处理结果'!B6)</x:f>
        <x:v>1152</x:v>
      </x:c>
      <x:c r="C7" s="153" t="n">
        <x:f>'预处理结果'!K6</x:f>
        <x:v>1152</x:v>
      </x:c>
      <x:c r="D7" s="153" t="n">
        <x:f>IF('预处理结果'!D6="","",'预处理结果'!D6)</x:f>
        <x:v>52</x:v>
      </x:c>
      <x:c r="E7" s="153" t="n">
        <x:f>'预处理结果'!M6</x:f>
        <x:v>52</x:v>
      </x:c>
    </x:row>
    <x:row r="8">
      <x:c r="A8" s="91" t="n">
        <x:f>'预处理结果'!A7</x:f>
        <x:v>2013</x:v>
      </x:c>
      <x:c r="B8" s="153" t="n">
        <x:f>IF('预处理结果'!B7="","",'预处理结果'!B7)</x:f>
        <x:v>1295</x:v>
      </x:c>
      <x:c r="C8" s="153" t="n">
        <x:f>'预处理结果'!K7</x:f>
        <x:v>1295</x:v>
      </x:c>
      <x:c r="D8" s="153" t="n">
        <x:f>IF('预处理结果'!D7="","",'预处理结果'!D7)</x:f>
        <x:v>63.2</x:v>
      </x:c>
      <x:c r="E8" s="153" t="n">
        <x:f>'预处理结果'!M7</x:f>
        <x:v>63.2</x:v>
      </x:c>
    </x:row>
    <x:row r="9">
      <x:c r="A9" s="91" t="n">
        <x:f>'预处理结果'!A8</x:f>
        <x:v>2014</x:v>
      </x:c>
      <x:c r="B9" s="153" t="n">
        <x:f>IF('预处理结果'!B8="","",'预处理结果'!B8)</x:f>
        <x:v>1553.4</x:v>
      </x:c>
      <x:c r="C9" s="153" t="n">
        <x:f>'预处理结果'!K8</x:f>
        <x:v>1553.4</x:v>
      </x:c>
      <x:c r="D9" s="153" t="n">
        <x:f>IF('预处理结果'!D8="","",'预处理结果'!D8)</x:f>
        <x:v>79</x:v>
      </x:c>
      <x:c r="E9" s="153" t="n">
        <x:f>'预处理结果'!M8</x:f>
        <x:v>79</x:v>
      </x:c>
    </x:row>
    <x:row r="10">
      <x:c r="A10" s="91" t="n">
        <x:f>'预处理结果'!A9</x:f>
        <x:v>2015</x:v>
      </x:c>
      <x:c r="B10" s="153" t="n">
        <x:f>IF('预处理结果'!B9="","",'预处理结果'!B9)</x:f>
        <x:v>1818.72</x:v>
      </x:c>
      <x:c r="C10" s="153" t="n">
        <x:f>'预处理结果'!K9</x:f>
        <x:v>1818.72</x:v>
      </x:c>
      <x:c r="D10" s="153" t="n">
        <x:f>IF('预处理结果'!D9="","",'预处理结果'!D9)</x:f>
        <x:v>94</x:v>
      </x:c>
      <x:c r="E10" s="153" t="n">
        <x:f>'预处理结果'!M9</x:f>
        <x:v>94</x:v>
      </x:c>
    </x:row>
    <x:row r="11">
      <x:c r="A11" s="91" t="n">
        <x:f>'预处理结果'!A10</x:f>
        <x:v>2016</x:v>
      </x:c>
      <x:c r="B11" s="153" t="n">
        <x:f>IF('预处理结果'!B10="","",'预处理结果'!B10)</x:f>
        <x:v>2086</x:v>
      </x:c>
      <x:c r="C11" s="153" t="n">
        <x:f>'预处理结果'!K10</x:f>
        <x:v>2086</x:v>
      </x:c>
      <x:c r="D11" s="153" t="str">
        <x:f>IF('预处理结果'!D10="","",'预处理结果'!D10)</x:f>
      </x:c>
      <x:c r="E11" s="153" t="n">
        <x:f>'预处理结果'!M10</x:f>
        <x:v>109.58600000000001</x:v>
      </x:c>
    </x:row>
    <x:row r="12">
      <x:c r="A12" s="91" t="n">
        <x:f>'预处理结果'!A11</x:f>
        <x:v>2017</x:v>
      </x:c>
      <x:c r="B12" s="153" t="n">
        <x:f>IF('预处理结果'!B11="","",'预处理结果'!B11)</x:f>
        <x:v>2392</x:v>
      </x:c>
      <x:c r="C12" s="153" t="n">
        <x:f>'预处理结果'!K11</x:f>
        <x:v>2392</x:v>
      </x:c>
      <x:c r="D12" s="153" t="n">
        <x:f>IF('预处理结果'!D11="","",'预处理结果'!D11)</x:f>
        <x:v>130</x:v>
      </x:c>
      <x:c r="E12" s="153" t="n">
        <x:f>'预处理结果'!M11</x:f>
        <x:v>130</x:v>
      </x:c>
    </x:row>
    <x:row r="13">
      <x:c r="A13" s="91" t="n">
        <x:f>'预处理结果'!A12</x:f>
        <x:v>2018</x:v>
      </x:c>
      <x:c r="B13" s="153" t="n">
        <x:f>IF('预处理结果'!B12="","",'预处理结果'!B12)</x:f>
        <x:v>2660</x:v>
      </x:c>
      <x:c r="C13" s="153" t="n">
        <x:f>'预处理结果'!K12</x:f>
        <x:v>2660</x:v>
      </x:c>
      <x:c r="D13" s="153" t="n">
        <x:f>IF('预处理结果'!D12="","",'预处理结果'!D12)</x:f>
        <x:v>142</x:v>
      </x:c>
      <x:c r="E13" s="153" t="n">
        <x:f>'预处理结果'!M12</x:f>
        <x:v>142</x:v>
      </x:c>
    </x:row>
    <x:row r="14">
      <x:c r="A14" s="91" t="n">
        <x:f>'预处理结果'!A13</x:f>
        <x:v>2019</x:v>
      </x:c>
      <x:c r="B14" s="153" t="n">
        <x:f>IF('预处理结果'!B13="","",'预处理结果'!B13)</x:f>
        <x:v>2800</x:v>
      </x:c>
      <x:c r="C14" s="153" t="n">
        <x:f>'预处理结果'!K13</x:f>
        <x:v>2800</x:v>
      </x:c>
      <x:c r="D14" s="153" t="n">
        <x:f>IF('预处理结果'!D13="","",'预处理结果'!D13)</x:f>
        <x:v>165</x:v>
      </x:c>
      <x:c r="E14" s="153" t="n">
        <x:f>'预处理结果'!M13</x:f>
        <x:v>165</x:v>
      </x:c>
    </x:row>
    <x:row r="15">
      <x:c r="A15" s="91" t="n">
        <x:f>'预处理结果'!A14</x:f>
        <x:v>2020</x:v>
      </x:c>
      <x:c r="B15" s="153" t="str">
        <x:f>IF('预处理结果'!B14="","",'预处理结果'!B14)</x:f>
      </x:c>
      <x:c r="C15" s="153" t="n">
        <x:f>'预处理结果'!K14</x:f>
        <x:v>1540.0000000000002</x:v>
      </x:c>
      <x:c r="D15" s="153" t="str">
        <x:f>IF('预处理结果'!D14="","",'预处理结果'!D14)</x:f>
      </x:c>
      <x:c r="E15" s="153" t="n">
        <x:f>'预处理结果'!M14</x:f>
        <x:v>81.67500000000001</x:v>
      </x:c>
    </x:row>
    <x:row r="16">
      <x:c r="A16" s="91" t="n">
        <x:f>'预处理结果'!A15</x:f>
        <x:v>2021</x:v>
      </x:c>
      <x:c r="B16" s="153" t="str">
        <x:f>IF('预处理结果'!B15="","",'预处理结果'!B15)</x:f>
      </x:c>
      <x:c r="C16" s="153" t="n">
        <x:f>'预处理结果'!K15</x:f>
        <x:v>1988.8590604026845</x:v>
      </x:c>
      <x:c r="D16" s="153" t="n">
        <x:f>IF('预处理结果'!D15="","",'预处理结果'!D15)</x:f>
        <x:v>110</x:v>
      </x:c>
      <x:c r="E16" s="153" t="n">
        <x:f>'预处理结果'!M15</x:f>
        <x:v>110</x:v>
      </x:c>
    </x:row>
    <x:row r="17">
      <x:c r="A17" s="91" t="n">
        <x:f>'预处理结果'!A16</x:f>
        <x:v>2022</x:v>
      </x:c>
      <x:c r="B17" s="153" t="str">
        <x:f>IF('预处理结果'!B16="","",'预处理结果'!B16)</x:f>
      </x:c>
      <x:c r="C17" s="153" t="n">
        <x:f>'预处理结果'!K16</x:f>
        <x:v>705.1409395973154</x:v>
      </x:c>
      <x:c r="D17" s="153" t="str">
        <x:f>IF('预处理结果'!D16="","",'预处理结果'!D16)</x:f>
      </x:c>
      <x:c r="E17" s="153" t="n">
        <x:f>'预处理结果'!M16</x:f>
        <x:v>39</x:v>
      </x:c>
    </x:row>
    <x:row r="18">
      <x:c r="A18" s="91" t="n">
        <x:f>'预处理结果'!A17</x:f>
        <x:v>2023</x:v>
      </x:c>
      <x:c r="B18" s="153" t="n">
        <x:f>IF('预处理结果'!B17="","",'预处理结果'!B17)</x:f>
        <x:v>2363</x:v>
      </x:c>
      <x:c r="C18" s="153" t="n">
        <x:f>'预处理结果'!K17</x:f>
        <x:v>2363</x:v>
      </x:c>
      <x:c r="D18" s="153" t="n">
        <x:f>IF('预处理结果'!D17="","",'预处理结果'!D17)</x:f>
        <x:v>191.5</x:v>
      </x:c>
      <x:c r="E18" s="153" t="n">
        <x:f>'预处理结果'!M17</x:f>
        <x:v>191.5</x:v>
      </x:c>
    </x:row>
    <x:row r="19">
      <x:c r="A19" s="91" t="n">
        <x:f>'预处理结果'!A18</x:f>
        <x:v>2024</x:v>
      </x:c>
      <x:c r="B19" s="153" t="n">
        <x:f>IF('预处理结果'!B18="","",'预处理结果'!B18)</x:f>
        <x:v>2643</x:v>
      </x:c>
      <x:c r="C19" s="153" t="n">
        <x:f>'预处理结果'!K18</x:f>
        <x:v>2643</x:v>
      </x:c>
      <x:c r="D19" s="153" t="n">
        <x:f>IF('预处理结果'!D18="","",'预处理结果'!D18)</x:f>
        <x:v>221</x:v>
      </x:c>
      <x:c r="E19" s="153" t="n">
        <x:f>'预处理结果'!M18</x:f>
        <x:v>221</x:v>
      </x:c>
    </x:row>
    <x:row r="20">
      <x:c r="A20" s="92" t="n">
        <x:f>'预处理结果'!A19</x:f>
        <x:v>2025</x:v>
      </x:c>
      <x:c r="B20" s="154" t="str">
        <x:f>IF('预处理结果'!B19="","",'预处理结果'!B19)</x:f>
      </x:c>
      <x:c r="C20" s="154" t="n">
        <x:f>'预处理结果'!K19</x:f>
        <x:v>2800</x:v>
      </x:c>
      <x:c r="D20" s="154" t="str">
        <x:f>IF('预处理结果'!D19="","",'预处理结果'!D19)</x:f>
      </x:c>
      <x:c r="E20" s="154" t="n">
        <x:f>'预处理结果'!M19</x:f>
        <x:v>231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a69000c3f24c4c7c"/>
  <x:tableParts count="1">
    <x:tablePart xmlns:r="http://schemas.openxmlformats.org/officeDocument/2006/relationships" r:id="Rc7e419880b0943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6" hidden="0" customWidth="1"/>
    <x:col min="4" max="4" width="36" hidden="0" customWidth="1"/>
    <x:col min="5" max="5" width="52" hidden="0" customWidth="1"/>
    <x:col min="6" max="6" width="46" hidden="0" customWidth="1"/>
    <x:col min="7" max="7" width="35" hidden="0" customWidth="1"/>
  </x:cols>
  <x:sheetData>
    <x:row r="1" ht="34" customHeight="1">
      <x:c r="A1" s="4" t="str">
        <x:v>必须补充、可选补充与相关指标覆盖</x:v>
      </x:c>
    </x:row>
    <x:row r="2" ht="38" customHeight="1">
      <x:c r="A2" s="150" t="str">
        <x:v>原则：必须补充决定模型是否可识别；可选补充只在能够稳定提高样本外预测时纳入。无官方依据的数据不生成伪精确值，必要时使用区间或标准化指数。</x:v>
      </x:c>
      <x:c r="B2" s="150"/>
      <x:c r="C2" s="150"/>
      <x:c r="D2" s="150"/>
      <x:c r="E2" s="150"/>
      <x:c r="F2" s="150"/>
      <x:c r="G2" s="150"/>
    </x:row>
    <x:row r="4">
      <x:c r="A4" s="87" t="str">
        <x:v>类别</x:v>
      </x:c>
      <x:c r="B4" s="88" t="str">
        <x:v>变量/缺口</x:v>
      </x:c>
      <x:c r="C4" s="88" t="str">
        <x:v>当前状态</x:v>
      </x:c>
      <x:c r="D4" s="88" t="str">
        <x:v>为什么需要</x:v>
      </x:c>
      <x:c r="E4" s="88" t="str">
        <x:v>推荐获取途径</x:v>
      </x:c>
      <x:c r="F4" s="88" t="str">
        <x:v>本轮生成假设</x:v>
      </x:c>
      <x:c r="G4" s="89" t="str">
        <x:v>不确定性处理</x:v>
      </x:c>
    </x:row>
    <x:row r="5" ht="92" customHeight="1">
      <x:c r="A5" s="90" t="str">
        <x:v>必须补充</x:v>
      </x:c>
      <x:c r="B5" s="90" t="str">
        <x:v>2020、2022、2025年度游客量与综合收入；2021游客量</x:v>
      </x:c>
      <x:c r="C5" s="90" t="str">
        <x:v>年度实际值缺失；仅有2021—2025累计值、2025目标值及部分年度收入</x:v>
      </x:c>
      <x:c r="D5" s="90" t="str">
        <x:v>两项核心因变量必须形成连续序列，且疫情冲击幅度直接影响趋势与预测区间</x:v>
      </x:c>
      <x:c r="E5" s="90" t="str">
        <x:v>蓟州区政府工作报告/统计公报原件、区文旅局年度总结、天津市文旅局；优先申请内部统计表</x:v>
      </x:c>
      <x:c r="F5" s="90" t="str">
        <x:v>用五年累计约束、2025目标替代值和2021/2022收入比例分配游客余量；所有结果标记为假设补全</x:v>
      </x:c>
      <x:c r="G5" s="90" t="str">
        <x:v>对2025目标替代值做±5%至±10%敏感性分析，并重新分配2021—2022余量</x:v>
      </x:c>
    </x:row>
    <x:row r="6" ht="92" customHeight="1">
      <x:c r="A6" s="91" t="str">
        <x:v>必须补充</x:v>
      </x:c>
      <x:c r="B6" s="91" t="str">
        <x:v>2016年同口径旅游综合收入</x:v>
      </x:c>
      <x:c r="C6" s="91" t="str">
        <x:v>仅有旅游直接收入21.9172亿元</x:v>
      </x:c>
      <x:c r="D6" s="91" t="str">
        <x:v>疫情前趋势模型需要连续收入序列</x:v>
      </x:c>
      <x:c r="E6" s="91" t="str">
        <x:v>2017年政府工作报告附件、蓟州区文旅局、后续统计表回列值</x:v>
      </x:c>
      <x:c r="F6" s="91" t="str">
        <x:v>按2011、2013—2015、2017年综合收入/直接收入约5倍的稳定关系桥接为109.586亿元</x:v>
      </x:c>
      <x:c r="G6" s="91" t="str">
        <x:v>桥接倍数在4.8—5.2之间扰动</x:v>
      </x:c>
    </x:row>
    <x:row r="7" ht="92" customHeight="1">
      <x:c r="A7" s="91" t="str">
        <x:v>必须补充</x:v>
      </x:c>
      <x:c r="B7" s="91" t="str">
        <x:v>旅游收入价格平减指数</x:v>
      </x:c>
      <x:c r="C7" s="91" t="str">
        <x:v>现有收入均为当年价，未形成实际收入</x:v>
      </x:c>
      <x:c r="D7" s="91" t="str">
        <x:v>名义价格上涨会夸大旅游经济真实增长</x:v>
      </x:c>
      <x:c r="E7" s="91" t="str">
        <x:v>国家统计局/天津统计局CPI，优先住宿、餐饮、交通、文娱分项构造旅游价格指数</x:v>
      </x:c>
      <x:c r="F7" s="91" t="str">
        <x:v>当前工作簿暂保留名义收入；正式建模前以2025年为100进行平减</x:v>
      </x:c>
      <x:c r="G7" s="91" t="str">
        <x:v>比较综合CPI与旅游分项加权指数两种口径</x:v>
      </x:c>
    </x:row>
    <x:row r="8" ht="92" customHeight="1">
      <x:c r="A8" s="91" t="str">
        <x:v>必须补充</x:v>
      </x:c>
      <x:c r="B8" s="91" t="str">
        <x:v>2026—2030政策投入、客源市场和新业态情景参数</x:v>
      </x:c>
      <x:c r="C8" s="91" t="str">
        <x:v>现有财政功能分类支出不等于旅游专项投入，未来值未给出</x:v>
      </x:c>
      <x:c r="D8" s="91" t="str">
        <x:v>问题3三情景和量化建议必须有可调参数</x:v>
      </x:c>
      <x:c r="E8" s="91" t="str">
        <x:v>蓟州区“十五五”规划、财政预算、文旅项目清单、京津冀协同文件；必要时专家打分</x:v>
      </x:c>
      <x:c r="F8" s="91" t="str">
        <x:v>标准化为基准1.00的指数，乐观/悲观区间由规划目标与历史波动共同设定</x:v>
      </x:c>
      <x:c r="G8" s="91" t="str">
        <x:v>使用三角分布或PERT分布，报告5%、50%、95%分位数</x:v>
      </x:c>
    </x:row>
    <x:row r="9" ht="92" customHeight="1">
      <x:c r="A9" s="91" t="str">
        <x:v>可选补充</x:v>
      </x:c>
      <x:c r="B9" s="91" t="str">
        <x:v>京津客源占比、移动/高速交通流量、搜索热度</x:v>
      </x:c>
      <x:c r="C9" s="91" t="str">
        <x:v>现有表中没有年度客源结构与高频需求先行指标</x:v>
      </x:c>
      <x:c r="D9" s="91" t="str">
        <x:v>可提升客流预测的及时性并解释区域协同效应</x:v>
      </x:c>
      <x:c r="E9" s="91" t="str">
        <x:v>景区票务与运营商脱敏数据、交通运输部门、高速出入口流量、百度指数/微信指数</x:v>
      </x:c>
      <x:c r="F9" s="91" t="str">
        <x:v>未生成具体数值，避免用无依据的网络热度替代官方客流</x:v>
      </x:c>
      <x:c r="G9" s="91" t="str">
        <x:v>先做相关性与滞后检验，再决定是否纳入</x:v>
      </x:c>
    </x:row>
    <x:row r="10" ht="92" customHeight="1">
      <x:c r="A10" s="92" t="str">
        <x:v>可选补充</x:v>
      </x:c>
      <x:c r="B10" s="92" t="str">
        <x:v>住宿供给、入住率、重点景区接待量、节假日与天气</x:v>
      </x:c>
      <x:c r="C10" s="92" t="str">
        <x:v>仅有天津市级星级饭店与A级景区结构校验数据</x:v>
      </x:c>
      <x:c r="D10" s="92" t="str">
        <x:v>可解释人均消费、新业态供给和季节/节假日波动</x:v>
      </x:c>
      <x:c r="E10" s="92" t="str">
        <x:v>天津市文旅局、蓟州区文旅局、气象局、酒店协会及重点景区运营数据</x:v>
      </x:c>
      <x:c r="F10" s="92" t="str">
        <x:v>若无法获得，仅作为情景解释变量，不强行生成年度观测</x:v>
      </x:c>
      <x:c r="G10" s="92" t="str">
        <x:v>采用区间或等级变量，避免伪造精确值</x:v>
      </x:c>
    </x:row>
    <x:row r="13">
      <x:c r="A13" s="10" t="str">
        <x:v>现有相关指标覆盖（只用于筛选，不代表可直接进入模型）</x:v>
      </x:c>
    </x:row>
    <x:row r="14">
      <x:c r="A14" s="87" t="str">
        <x:v>指标</x:v>
      </x:c>
      <x:c r="B14" s="88" t="str">
        <x:v>单位</x:v>
      </x:c>
      <x:c r="C14" s="88" t="str">
        <x:v>观测数</x:v>
      </x:c>
      <x:c r="D14" s="88" t="str">
        <x:v>起始年</x:v>
      </x:c>
      <x:c r="E14" s="89" t="str">
        <x:v>结束年</x:v>
      </x:c>
    </x:row>
    <x:row r="15" ht="34" customHeight="1">
      <x:c r="A15" s="90" t="str">
        <x:v>all_resident_disposable_income</x:v>
      </x:c>
      <x:c r="B15" s="90" t="str">
        <x:v>cny_per_person</x:v>
      </x:c>
      <x:c r="C15" s="93" t="n">
        <x:v>8</x:v>
      </x:c>
      <x:c r="D15" s="93" t="n">
        <x:v>2017</x:v>
      </x:c>
      <x:c r="E15" s="93" t="n">
        <x:v>2025</x:v>
      </x:c>
    </x:row>
    <x:row r="16" ht="34" customHeight="1">
      <x:c r="A16" s="91" t="str">
        <x:v>culture_tourism_sports_media_expenditure</x:v>
      </x:c>
      <x:c r="B16" s="91" t="str">
        <x:v>10k_cny</x:v>
      </x:c>
      <x:c r="C16" s="94" t="n">
        <x:v>3</x:v>
      </x:c>
      <x:c r="D16" s="94" t="n">
        <x:v>2022</x:v>
      </x:c>
      <x:c r="E16" s="94" t="n">
        <x:v>2024</x:v>
      </x:c>
    </x:row>
    <x:row r="17" ht="34" customHeight="1">
      <x:c r="A17" s="91" t="str">
        <x:v>fixed_asset_investment</x:v>
      </x:c>
      <x:c r="B17" s="91" t="str">
        <x:v>100m_cny</x:v>
      </x:c>
      <x:c r="C17" s="94" t="n">
        <x:v>4</x:v>
      </x:c>
      <x:c r="D17" s="94" t="n">
        <x:v>2014</x:v>
      </x:c>
      <x:c r="E17" s="94" t="n">
        <x:v>2017</x:v>
      </x:c>
    </x:row>
    <x:row r="18" ht="34" customHeight="1">
      <x:c r="A18" s="91" t="str">
        <x:v>general_public_budget_expenditure</x:v>
      </x:c>
      <x:c r="B18" s="91" t="str">
        <x:v>100m_cny</x:v>
      </x:c>
      <x:c r="C18" s="94" t="n">
        <x:v>6</x:v>
      </x:c>
      <x:c r="D18" s="94" t="n">
        <x:v>2020</x:v>
      </x:c>
      <x:c r="E18" s="94" t="n">
        <x:v>2025</x:v>
      </x:c>
    </x:row>
    <x:row r="19" ht="34" customHeight="1">
      <x:c r="A19" s="91" t="str">
        <x:v>permanent_population</x:v>
      </x:c>
      <x:c r="B19" s="91" t="str">
        <x:v>10k_persons</x:v>
      </x:c>
      <x:c r="C19" s="94" t="n">
        <x:v>1</x:v>
      </x:c>
      <x:c r="D19" s="94" t="n">
        <x:v>2019</x:v>
      </x:c>
      <x:c r="E19" s="94" t="n">
        <x:v>2019</x:v>
      </x:c>
    </x:row>
    <x:row r="20" ht="34" customHeight="1">
      <x:c r="A20" s="91" t="str">
        <x:v>road_mileage</x:v>
      </x:c>
      <x:c r="B20" s="91" t="str">
        <x:v>km</x:v>
      </x:c>
      <x:c r="C20" s="94" t="n">
        <x:v>1</x:v>
      </x:c>
      <x:c r="D20" s="94" t="n">
        <x:v>2019</x:v>
      </x:c>
      <x:c r="E20" s="94" t="n">
        <x:v>2019</x:v>
      </x:c>
    </x:row>
    <x:row r="21" ht="34" customHeight="1">
      <x:c r="A21" s="91" t="str">
        <x:v>rural_disposable_income</x:v>
      </x:c>
      <x:c r="B21" s="91" t="str">
        <x:v>cny_per_person</x:v>
      </x:c>
      <x:c r="C21" s="94" t="n">
        <x:v>2</x:v>
      </x:c>
      <x:c r="D21" s="94" t="n">
        <x:v>2016</x:v>
      </x:c>
      <x:c r="E21" s="94" t="n">
        <x:v>2017</x:v>
      </x:c>
    </x:row>
    <x:row r="22" ht="34" customHeight="1">
      <x:c r="A22" s="91" t="str">
        <x:v>social_retail_sales</x:v>
      </x:c>
      <x:c r="B22" s="91" t="str">
        <x:v>100m_cny</x:v>
      </x:c>
      <x:c r="C22" s="94" t="n">
        <x:v>9</x:v>
      </x:c>
      <x:c r="D22" s="94" t="n">
        <x:v>2014</x:v>
      </x:c>
      <x:c r="E22" s="94" t="n">
        <x:v>2025</x:v>
      </x:c>
    </x:row>
    <x:row r="23" ht="34" customHeight="1">
      <x:c r="A23" s="91" t="str">
        <x:v>social_retail_sales_yoy</x:v>
      </x:c>
      <x:c r="B23" s="91" t="str">
        <x:v>percent</x:v>
      </x:c>
      <x:c r="C23" s="94" t="n">
        <x:v>1</x:v>
      </x:c>
      <x:c r="D23" s="94" t="n">
        <x:v>2020</x:v>
      </x:c>
      <x:c r="E23" s="94" t="n">
        <x:v>2020</x:v>
      </x:c>
    </x:row>
    <x:row r="24" ht="34" customHeight="1">
      <x:c r="A24" s="92" t="str">
        <x:v>urban_disposable_income</x:v>
      </x:c>
      <x:c r="B24" s="92" t="str">
        <x:v>cny_per_person</x:v>
      </x:c>
      <x:c r="C24" s="151" t="n">
        <x:v>2</x:v>
      </x:c>
      <x:c r="D24" s="151" t="n">
        <x:v>2016</x:v>
      </x:c>
      <x:c r="E24" s="151" t="n">
        <x:v>2017</x:v>
      </x:c>
    </x:row>
  </x:sheetData>
  <x:mergeCells>
    <x:mergeCell ref="A1:G1"/>
    <x:mergeCell ref="A2:G2"/>
    <x:mergeCell ref="A13:G13"/>
  </x:mergeCells>
  <x:conditionalFormatting sqref="A5:A10">
    <x:cfRule type="containsText" dxfId="4" priority="1" operator="containsText" text="必须"/>
    <x:cfRule type="containsText" dxfId="5" priority="2" operator="containsText" text="可选"/>
  </x:conditionalFormatting>
  <x:pageMargins left="0.7" right="0.7" top="0.75" bottom="0.75" header="0.3" footer="0.3"/>
  <x:tableParts count="1">
    <x:tablePart xmlns:r="http://schemas.openxmlformats.org/officeDocument/2006/relationships" r:id="R947526c2ffe34df1"/>
  </x:tableParts>
</x:worksheet>
</file>